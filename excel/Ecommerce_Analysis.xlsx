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9285"/>
  </bookViews>
  <sheets>
    <sheet name=" Executive Summary" sheetId="1" r:id="rId1"/>
    <sheet name="Monthly Sales" sheetId="2" r:id="rId2"/>
    <sheet name="Customer Analysis" sheetId="3" r:id="rId3"/>
    <sheet name=" Product Analysis" sheetId="4" r:id="rId4"/>
    <sheet name="Delivery Analysis" sheetId="5" r:id="rId5"/>
    <sheet name="PivotTables" sheetId="6" r:id="rId6"/>
  </sheets>
  <calcPr calcId="125725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B5" i="1"/>
  <c r="E3" i="5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"/>
  <c r="B2" i="1"/>
  <c r="B4"/>
  <c r="E27" i="2"/>
  <c r="B3" i="1"/>
  <c r="B5" i="3"/>
  <c r="C27" i="2"/>
  <c r="G4" i="5"/>
  <c r="G3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"/>
  <c r="K3" i="2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"/>
  <c r="G7"/>
  <c r="G3"/>
  <c r="G4"/>
  <c r="G5"/>
  <c r="G6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"/>
</calcChain>
</file>

<file path=xl/sharedStrings.xml><?xml version="1.0" encoding="utf-8"?>
<sst xmlns="http://schemas.openxmlformats.org/spreadsheetml/2006/main" count="198" uniqueCount="105">
  <si>
    <t>Year</t>
  </si>
  <si>
    <t>Month</t>
  </si>
  <si>
    <t>AverageOrderValue</t>
  </si>
  <si>
    <t>TotalOrders</t>
  </si>
  <si>
    <t>TotalRevenue</t>
  </si>
  <si>
    <t>Month-Year</t>
  </si>
  <si>
    <t>Revenue</t>
  </si>
  <si>
    <t>Orders</t>
  </si>
  <si>
    <t>CustomerSegment</t>
  </si>
  <si>
    <t>TotalCustomers</t>
  </si>
  <si>
    <t>AverageRevenuePerCustomer</t>
  </si>
  <si>
    <t>AverageOrdersPerCustomer</t>
  </si>
  <si>
    <t>RevenueSharePercent</t>
  </si>
  <si>
    <t>At Risk</t>
  </si>
  <si>
    <t>Regular Customers</t>
  </si>
  <si>
    <t>Champions</t>
  </si>
  <si>
    <t>ProductCategory</t>
  </si>
  <si>
    <t>TotalItemsSold</t>
  </si>
  <si>
    <t>AverageSellingPrice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</si>
  <si>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</si>
  <si>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</si>
  <si>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</si>
  <si>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</si>
  <si>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</si>
  <si>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</si>
  <si>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</si>
  <si>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</si>
  <si>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</si>
  <si>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</si>
  <si>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</si>
  <si>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</si>
  <si>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</si>
  <si>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</si>
  <si>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</si>
  <si>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</si>
  <si>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</si>
  <si>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</si>
  <si>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</si>
  <si>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</si>
  <si>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Unknown</t>
  </si>
  <si>
    <t>electronics</t>
  </si>
  <si>
    <t>consoles_games</t>
  </si>
  <si>
    <t>fashion_bags_accessories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</si>
  <si>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</si>
  <si>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</si>
  <si>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</si>
  <si>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</si>
  <si>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</si>
  <si>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</si>
  <si>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</si>
  <si>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fixed_telephony</t>
  </si>
  <si>
    <t>home_confort</t>
  </si>
  <si>
    <t>air_conditioning</t>
  </si>
  <si>
    <t>audio</t>
  </si>
  <si>
    <t>small_appliances_home_oven_and_coffee</t>
  </si>
  <si>
    <t>books_general_interest</t>
  </si>
  <si>
    <t>kitchen_dining_laundry_garden_furniture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</si>
  <si>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</si>
  <si>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</si>
  <si>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</si>
  <si>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</si>
  <si>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</si>
  <si>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</si>
  <si>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</si>
  <si>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</si>
  <si>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</si>
  <si>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</si>
  <si>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</si>
  <si>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</si>
  <si>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</si>
  <si>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</si>
  <si>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</si>
  <si>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</si>
  <si>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</si>
  <si>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</si>
  <si>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</si>
  <si>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</si>
  <si>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</si>
  <si>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books_imported</t>
  </si>
  <si>
    <t>party_supplies</t>
  </si>
  <si>
    <t>furniture_mattress_and_upholstery</t>
  </si>
  <si>
    <t>portateis_cozinha_e_preparadores_de_alimentos</t>
  </si>
  <si>
    <t>fashio_female_clothing</t>
  </si>
  <si>
    <t>fashion_sport</t>
  </si>
  <si>
    <t>la_cuisine</t>
  </si>
  <si>
    <t>arts_and_craftmanship</t>
  </si>
  <si>
    <t>diapers_and_hygiene</t>
  </si>
  <si>
    <t>pc_gamer</t>
  </si>
  <si>
    <t>flowers</t>
  </si>
  <si>
    <t>home_comfort_2</t>
  </si>
  <si>
    <t>cds_dvds_musicals</t>
  </si>
  <si>
    <t>fashion_childrens_clothes</t>
  </si>
  <si>
    <t>security_and_services</t>
  </si>
  <si>
    <t>TotalDeliveredOrders</t>
  </si>
  <si>
    <t>LateOrders</t>
  </si>
  <si>
    <t>LateDeliveryRatePercent</t>
  </si>
  <si>
    <t>AverageDeliveryDays</t>
  </si>
  <si>
    <t>Grand Total</t>
  </si>
  <si>
    <t>Sum of TotalRevenue</t>
  </si>
  <si>
    <t xml:space="preserve"> Total Revenue</t>
  </si>
  <si>
    <t>Total Orders</t>
  </si>
  <si>
    <t>Total Customers</t>
  </si>
  <si>
    <t>Average Order Value</t>
  </si>
  <si>
    <t>Late Delivery Rate</t>
  </si>
  <si>
    <t>Ecommerce Sales &amp; Profit Analytics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</si>
</sst>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2" fontId="0" fillId="0" borderId="0" xfId="0" applyNumberFormat="1"/>
    <xf numFmtId="0" fontId="1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Revenue Share by Customer Segment</a:t>
            </a:r>
            <a:endParaRPr lang="en-US"/>
          </a:p>
        </c:rich>
      </c:tx>
      <c:layout>
        <c:manualLayout>
          <c:xMode val="edge"/>
          <c:yMode val="edge"/>
          <c:x val="0.14796334229104421"/>
          <c:y val="1.7241371508113178E-2"/>
        </c:manualLayout>
      </c:layout>
    </c:title>
    <c:plotArea>
      <c:layout/>
      <c:pieChart>
        <c:varyColors val="1"/>
        <c:ser>
          <c:idx val="0"/>
          <c:order val="0"/>
          <c:tx>
            <c:strRef>
              <c:f>' Executive Summary'!$E$1</c:f>
              <c:strCache>
                <c:ptCount val="1"/>
                <c:pt idx="0">
                  <c:v>RevenueSharePercent</c:v>
                </c:pt>
              </c:strCache>
            </c:strRef>
          </c:tx>
          <c:cat>
            <c:strRef>
              <c:f>' Executive Summary'!$D$2:$D$4</c:f>
              <c:strCache>
                <c:ptCount val="3"/>
                <c:pt idx="0">
                  <c:v>At Risk</c:v>
                </c:pt>
                <c:pt idx="1">
                  <c:v>Regular Customers</c:v>
                </c:pt>
                <c:pt idx="2">
                  <c:v>Champions</c:v>
                </c:pt>
              </c:strCache>
            </c:strRef>
          </c:cat>
          <c:val>
            <c:numRef>
              <c:f>' Executive Summary'!$E$2:$E$4</c:f>
              <c:numCache>
                <c:formatCode>General</c:formatCode>
                <c:ptCount val="3"/>
                <c:pt idx="0">
                  <c:v>56.3</c:v>
                </c:pt>
                <c:pt idx="1">
                  <c:v>43.55</c:v>
                </c:pt>
                <c:pt idx="2">
                  <c:v>0.15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</c:title>
    <c:plotArea>
      <c:layout>
        <c:manualLayout>
          <c:layoutTarget val="inner"/>
          <c:xMode val="edge"/>
          <c:yMode val="edge"/>
          <c:x val="0.21805007150724137"/>
          <c:y val="0.16005342252572421"/>
          <c:w val="0.62091251093613298"/>
          <c:h val="0.58043525809273777"/>
        </c:manualLayout>
      </c:layout>
      <c:lineChart>
        <c:grouping val="standard"/>
        <c:ser>
          <c:idx val="0"/>
          <c:order val="0"/>
          <c:tx>
            <c:strRef>
              <c:f>'Monthly Sales'!$G$1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'Monthly Sales'!$F$2:$F$25</c:f>
              <c:strCache>
                <c:ptCount val="24"/>
                <c:pt idx="0">
                  <c:v>Sep 2016</c:v>
                </c:pt>
                <c:pt idx="1">
                  <c:v>Oct 2016</c:v>
                </c:pt>
                <c:pt idx="2">
                  <c:v>Dec 2016</c:v>
                </c:pt>
                <c:pt idx="3">
                  <c:v>Jan 2017</c:v>
                </c:pt>
                <c:pt idx="4">
                  <c:v>Feb 2017</c:v>
                </c:pt>
                <c:pt idx="5">
                  <c:v>Mar 2017</c:v>
                </c:pt>
                <c:pt idx="6">
                  <c:v>Apr 2017</c:v>
                </c:pt>
                <c:pt idx="7">
                  <c:v>May 2017</c:v>
                </c:pt>
                <c:pt idx="8">
                  <c:v>Jun 2017</c:v>
                </c:pt>
                <c:pt idx="9">
                  <c:v>Jul 2017</c:v>
                </c:pt>
                <c:pt idx="10">
                  <c:v>Aug 2017</c:v>
                </c:pt>
                <c:pt idx="11">
                  <c:v>Sep 2017</c:v>
                </c:pt>
                <c:pt idx="12">
                  <c:v>Oct 2017</c:v>
                </c:pt>
                <c:pt idx="13">
                  <c:v>Nov 2017</c:v>
                </c:pt>
                <c:pt idx="14">
                  <c:v>Dec 2017</c:v>
                </c:pt>
                <c:pt idx="15">
                  <c:v>Jan 2018</c:v>
                </c:pt>
                <c:pt idx="16">
                  <c:v>Feb 2018</c:v>
                </c:pt>
                <c:pt idx="17">
                  <c:v>Mar 2018</c:v>
                </c:pt>
                <c:pt idx="18">
                  <c:v>Apr 2018</c:v>
                </c:pt>
                <c:pt idx="19">
                  <c:v>May 2018</c:v>
                </c:pt>
                <c:pt idx="20">
                  <c:v>Jun 2018</c:v>
                </c:pt>
                <c:pt idx="21">
                  <c:v>Jul 2018</c:v>
                </c:pt>
                <c:pt idx="22">
                  <c:v>Aug 2018</c:v>
                </c:pt>
                <c:pt idx="23">
                  <c:v>Sep 2018</c:v>
                </c:pt>
              </c:strCache>
            </c:strRef>
          </c:cat>
          <c:val>
            <c:numRef>
              <c:f>'Monthly Sales'!$G$2:$G$25</c:f>
              <c:numCache>
                <c:formatCode>General</c:formatCode>
                <c:ptCount val="24"/>
                <c:pt idx="0">
                  <c:v>267.36</c:v>
                </c:pt>
                <c:pt idx="1">
                  <c:v>49507.66</c:v>
                </c:pt>
                <c:pt idx="2">
                  <c:v>10.9</c:v>
                </c:pt>
                <c:pt idx="3">
                  <c:v>120312.87</c:v>
                </c:pt>
                <c:pt idx="4">
                  <c:v>247303.02</c:v>
                </c:pt>
                <c:pt idx="5">
                  <c:v>374344.3</c:v>
                </c:pt>
                <c:pt idx="6">
                  <c:v>359927.23</c:v>
                </c:pt>
                <c:pt idx="7">
                  <c:v>506071.14</c:v>
                </c:pt>
                <c:pt idx="8">
                  <c:v>433038.6</c:v>
                </c:pt>
                <c:pt idx="9">
                  <c:v>498031.48</c:v>
                </c:pt>
                <c:pt idx="10">
                  <c:v>573971.68000000005</c:v>
                </c:pt>
                <c:pt idx="11">
                  <c:v>624401.68999999994</c:v>
                </c:pt>
                <c:pt idx="12">
                  <c:v>664219.43000000005</c:v>
                </c:pt>
                <c:pt idx="13">
                  <c:v>1010271.37</c:v>
                </c:pt>
                <c:pt idx="14">
                  <c:v>743914.17</c:v>
                </c:pt>
                <c:pt idx="15">
                  <c:v>950030.36</c:v>
                </c:pt>
                <c:pt idx="16">
                  <c:v>844178.71</c:v>
                </c:pt>
                <c:pt idx="17">
                  <c:v>983213.44</c:v>
                </c:pt>
                <c:pt idx="18">
                  <c:v>996647.75</c:v>
                </c:pt>
                <c:pt idx="19">
                  <c:v>996517.68</c:v>
                </c:pt>
                <c:pt idx="20">
                  <c:v>865124.31</c:v>
                </c:pt>
                <c:pt idx="21">
                  <c:v>895507.22</c:v>
                </c:pt>
                <c:pt idx="22">
                  <c:v>854686.33</c:v>
                </c:pt>
                <c:pt idx="23">
                  <c:v>145</c:v>
                </c:pt>
              </c:numCache>
            </c:numRef>
          </c:val>
        </c:ser>
        <c:marker val="1"/>
        <c:axId val="80442112"/>
        <c:axId val="80443648"/>
      </c:lineChart>
      <c:catAx>
        <c:axId val="80442112"/>
        <c:scaling>
          <c:orientation val="minMax"/>
        </c:scaling>
        <c:axPos val="b"/>
        <c:tickLblPos val="nextTo"/>
        <c:crossAx val="80443648"/>
        <c:crosses val="autoZero"/>
        <c:auto val="1"/>
        <c:lblAlgn val="ctr"/>
        <c:lblOffset val="100"/>
      </c:catAx>
      <c:valAx>
        <c:axId val="80443648"/>
        <c:scaling>
          <c:orientation val="minMax"/>
        </c:scaling>
        <c:axPos val="l"/>
        <c:majorGridlines/>
        <c:numFmt formatCode="General" sourceLinked="1"/>
        <c:tickLblPos val="nextTo"/>
        <c:crossAx val="8044211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Order Volume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'Monthly Sales'!$K$1</c:f>
              <c:strCache>
                <c:ptCount val="1"/>
                <c:pt idx="0">
                  <c:v>Orders</c:v>
                </c:pt>
              </c:strCache>
            </c:strRef>
          </c:tx>
          <c:marker>
            <c:symbol val="none"/>
          </c:marker>
          <c:cat>
            <c:strRef>
              <c:f>'Monthly Sales'!$J$2:$J$25</c:f>
              <c:strCache>
                <c:ptCount val="24"/>
                <c:pt idx="0">
                  <c:v>Sep 2016</c:v>
                </c:pt>
                <c:pt idx="1">
                  <c:v>Oct 2016</c:v>
                </c:pt>
                <c:pt idx="2">
                  <c:v>Dec 2016</c:v>
                </c:pt>
                <c:pt idx="3">
                  <c:v>Jan 2017</c:v>
                </c:pt>
                <c:pt idx="4">
                  <c:v>Feb 2017</c:v>
                </c:pt>
                <c:pt idx="5">
                  <c:v>Mar 2017</c:v>
                </c:pt>
                <c:pt idx="6">
                  <c:v>Apr 2017</c:v>
                </c:pt>
                <c:pt idx="7">
                  <c:v>May 2017</c:v>
                </c:pt>
                <c:pt idx="8">
                  <c:v>Jun 2017</c:v>
                </c:pt>
                <c:pt idx="9">
                  <c:v>Jul 2017</c:v>
                </c:pt>
                <c:pt idx="10">
                  <c:v>Aug 2017</c:v>
                </c:pt>
                <c:pt idx="11">
                  <c:v>Sep 2017</c:v>
                </c:pt>
                <c:pt idx="12">
                  <c:v>Oct 2017</c:v>
                </c:pt>
                <c:pt idx="13">
                  <c:v>Nov 2017</c:v>
                </c:pt>
                <c:pt idx="14">
                  <c:v>Dec 2017</c:v>
                </c:pt>
                <c:pt idx="15">
                  <c:v>Jan 2018</c:v>
                </c:pt>
                <c:pt idx="16">
                  <c:v>Feb 2018</c:v>
                </c:pt>
                <c:pt idx="17">
                  <c:v>Mar 2018</c:v>
                </c:pt>
                <c:pt idx="18">
                  <c:v>Apr 2018</c:v>
                </c:pt>
                <c:pt idx="19">
                  <c:v>May 2018</c:v>
                </c:pt>
                <c:pt idx="20">
                  <c:v>Jun 2018</c:v>
                </c:pt>
                <c:pt idx="21">
                  <c:v>Jul 2018</c:v>
                </c:pt>
                <c:pt idx="22">
                  <c:v>Aug 2018</c:v>
                </c:pt>
                <c:pt idx="23">
                  <c:v>Sep 2018</c:v>
                </c:pt>
              </c:strCache>
            </c:strRef>
          </c:cat>
          <c:val>
            <c:numRef>
              <c:f>'Monthly Sales'!$K$2:$K$25</c:f>
              <c:numCache>
                <c:formatCode>General</c:formatCode>
                <c:ptCount val="24"/>
                <c:pt idx="0">
                  <c:v>3</c:v>
                </c:pt>
                <c:pt idx="1">
                  <c:v>308</c:v>
                </c:pt>
                <c:pt idx="2">
                  <c:v>1</c:v>
                </c:pt>
                <c:pt idx="3">
                  <c:v>789</c:v>
                </c:pt>
                <c:pt idx="4">
                  <c:v>1733</c:v>
                </c:pt>
                <c:pt idx="5">
                  <c:v>2641</c:v>
                </c:pt>
                <c:pt idx="6">
                  <c:v>2391</c:v>
                </c:pt>
                <c:pt idx="7">
                  <c:v>3660</c:v>
                </c:pt>
                <c:pt idx="8">
                  <c:v>3217</c:v>
                </c:pt>
                <c:pt idx="9">
                  <c:v>3969</c:v>
                </c:pt>
                <c:pt idx="10">
                  <c:v>4293</c:v>
                </c:pt>
                <c:pt idx="11">
                  <c:v>4243</c:v>
                </c:pt>
                <c:pt idx="12">
                  <c:v>4568</c:v>
                </c:pt>
                <c:pt idx="13">
                  <c:v>7451</c:v>
                </c:pt>
                <c:pt idx="14">
                  <c:v>5624</c:v>
                </c:pt>
                <c:pt idx="15">
                  <c:v>7220</c:v>
                </c:pt>
                <c:pt idx="16">
                  <c:v>6694</c:v>
                </c:pt>
                <c:pt idx="17">
                  <c:v>7188</c:v>
                </c:pt>
                <c:pt idx="18">
                  <c:v>6934</c:v>
                </c:pt>
                <c:pt idx="19">
                  <c:v>6853</c:v>
                </c:pt>
                <c:pt idx="20">
                  <c:v>6160</c:v>
                </c:pt>
                <c:pt idx="21">
                  <c:v>6273</c:v>
                </c:pt>
                <c:pt idx="22">
                  <c:v>6452</c:v>
                </c:pt>
                <c:pt idx="23">
                  <c:v>1</c:v>
                </c:pt>
              </c:numCache>
            </c:numRef>
          </c:val>
        </c:ser>
        <c:marker val="1"/>
        <c:axId val="80471936"/>
        <c:axId val="80473472"/>
      </c:lineChart>
      <c:catAx>
        <c:axId val="80471936"/>
        <c:scaling>
          <c:orientation val="minMax"/>
        </c:scaling>
        <c:axPos val="b"/>
        <c:tickLblPos val="nextTo"/>
        <c:crossAx val="80473472"/>
        <c:crosses val="autoZero"/>
        <c:auto val="1"/>
        <c:lblAlgn val="ctr"/>
        <c:lblOffset val="100"/>
      </c:catAx>
      <c:valAx>
        <c:axId val="80473472"/>
        <c:scaling>
          <c:orientation val="minMax"/>
        </c:scaling>
        <c:axPos val="l"/>
        <c:majorGridlines/>
        <c:numFmt formatCode="General" sourceLinked="1"/>
        <c:tickLblPos val="nextTo"/>
        <c:crossAx val="8047193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chart>
    <c:title/>
    <c:plotArea>
      <c:layout/>
      <c:barChart>
        <c:barDir val="bar"/>
        <c:grouping val="clustered"/>
        <c:ser>
          <c:idx val="0"/>
          <c:order val="0"/>
          <c:tx>
            <c:strRef>
              <c:f>'Customer Analysis'!$G$1</c:f>
              <c:strCache>
                <c:ptCount val="1"/>
                <c:pt idx="0">
                  <c:v>RevenueSharePercent</c:v>
                </c:pt>
              </c:strCache>
            </c:strRef>
          </c:tx>
          <c:cat>
            <c:strRef>
              <c:f>'Customer Analysis'!$A$2:$A$4</c:f>
              <c:strCache>
                <c:ptCount val="3"/>
                <c:pt idx="0">
                  <c:v>At Risk</c:v>
                </c:pt>
                <c:pt idx="1">
                  <c:v>Regular Customers</c:v>
                </c:pt>
                <c:pt idx="2">
                  <c:v>Champions</c:v>
                </c:pt>
              </c:strCache>
            </c:strRef>
          </c:cat>
          <c:val>
            <c:numRef>
              <c:f>'Customer Analysis'!$G$2:$G$4</c:f>
              <c:numCache>
                <c:formatCode>General</c:formatCode>
                <c:ptCount val="3"/>
                <c:pt idx="0">
                  <c:v>56.3</c:v>
                </c:pt>
                <c:pt idx="1">
                  <c:v>43.55</c:v>
                </c:pt>
                <c:pt idx="2">
                  <c:v>0.15</c:v>
                </c:pt>
              </c:numCache>
            </c:numRef>
          </c:val>
        </c:ser>
        <c:axId val="80497664"/>
        <c:axId val="80519936"/>
      </c:barChart>
      <c:catAx>
        <c:axId val="80497664"/>
        <c:scaling>
          <c:orientation val="minMax"/>
        </c:scaling>
        <c:axPos val="l"/>
        <c:tickLblPos val="nextTo"/>
        <c:crossAx val="80519936"/>
        <c:crosses val="autoZero"/>
        <c:auto val="1"/>
        <c:lblAlgn val="ctr"/>
        <c:lblOffset val="100"/>
      </c:catAx>
      <c:valAx>
        <c:axId val="80519936"/>
        <c:scaling>
          <c:orientation val="minMax"/>
        </c:scaling>
        <c:axPos val="b"/>
        <c:majorGridlines/>
        <c:numFmt formatCode="General" sourceLinked="1"/>
        <c:tickLblPos val="nextTo"/>
        <c:crossAx val="8049766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Top 10 Product Categories by Revenue</a:t>
            </a:r>
          </a:p>
        </c:rich>
      </c:tx>
      <c:layout>
        <c:manualLayout>
          <c:xMode val="edge"/>
          <c:yMode val="edge"/>
          <c:x val="0.21909033245844284"/>
          <c:y val="0"/>
        </c:manualLayout>
      </c:layout>
    </c:title>
    <c:plotArea>
      <c:layout>
        <c:manualLayout>
          <c:layoutTarget val="inner"/>
          <c:xMode val="edge"/>
          <c:yMode val="edge"/>
          <c:x val="0.34393285214348207"/>
          <c:y val="0.28968620960596497"/>
          <c:w val="0.44026290463692025"/>
          <c:h val="0.60393734222712603"/>
        </c:manualLayout>
      </c:layout>
      <c:barChart>
        <c:barDir val="bar"/>
        <c:grouping val="clustered"/>
        <c:ser>
          <c:idx val="0"/>
          <c:order val="0"/>
          <c:tx>
            <c:strRef>
              <c:f>' Product Analysis'!$C$1</c:f>
              <c:strCache>
                <c:ptCount val="1"/>
                <c:pt idx="0">
                  <c:v>TotalRevenue</c:v>
                </c:pt>
              </c:strCache>
            </c:strRef>
          </c:tx>
          <c:cat>
            <c:strRef>
              <c:f>' Product Analysis'!$A$2:$A$75</c:f>
              <c:strCache>
                <c:ptCount val="74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garden_tools</c:v>
                </c:pt>
                <c:pt idx="10">
                  <c:v>toys</c:v>
                </c:pt>
                <c:pt idx="11">
                  <c:v>baby</c:v>
                </c:pt>
                <c:pt idx="12">
                  <c:v>perfumery</c:v>
                </c:pt>
                <c:pt idx="13">
                  <c:v>telephony</c:v>
                </c:pt>
                <c:pt idx="14">
                  <c:v>office_furniture</c:v>
                </c:pt>
                <c:pt idx="15">
                  <c:v>stationery</c:v>
                </c:pt>
                <c:pt idx="16">
                  <c:v>computers</c:v>
                </c:pt>
                <c:pt idx="17">
                  <c:v>pet_shop</c:v>
                </c:pt>
                <c:pt idx="18">
                  <c:v>musical_instruments</c:v>
                </c:pt>
                <c:pt idx="19">
                  <c:v>small_appliances</c:v>
                </c:pt>
                <c:pt idx="20">
                  <c:v>Unknown</c:v>
                </c:pt>
                <c:pt idx="21">
                  <c:v>electronics</c:v>
                </c:pt>
                <c:pt idx="22">
                  <c:v>consoles_games</c:v>
                </c:pt>
                <c:pt idx="23">
                  <c:v>fashion_bags_accessories</c:v>
                </c:pt>
                <c:pt idx="24">
                  <c:v>construction_tools_construction</c:v>
                </c:pt>
                <c:pt idx="25">
                  <c:v>luggage_accessories</c:v>
                </c:pt>
                <c:pt idx="26">
                  <c:v>home_appliances_2</c:v>
                </c:pt>
                <c:pt idx="27">
                  <c:v>home_construction</c:v>
                </c:pt>
                <c:pt idx="28">
                  <c:v>home_appliances</c:v>
                </c:pt>
                <c:pt idx="29">
                  <c:v>agro_industry_and_commerce</c:v>
                </c:pt>
                <c:pt idx="30">
                  <c:v>furniture_living_room</c:v>
                </c:pt>
                <c:pt idx="31">
                  <c:v>fixed_telephony</c:v>
                </c:pt>
                <c:pt idx="32">
                  <c:v>home_confort</c:v>
                </c:pt>
                <c:pt idx="33">
                  <c:v>air_conditioning</c:v>
                </c:pt>
                <c:pt idx="34">
                  <c:v>audio</c:v>
                </c:pt>
                <c:pt idx="35">
                  <c:v>small_appliances_home_oven_and_coffee</c:v>
                </c:pt>
                <c:pt idx="36">
                  <c:v>books_general_interest</c:v>
                </c:pt>
                <c:pt idx="37">
                  <c:v>kitchen_dining_laundry_garden_furniture</c:v>
                </c:pt>
                <c:pt idx="38">
                  <c:v>construction_tools_lights</c:v>
                </c:pt>
                <c:pt idx="39">
                  <c:v>construction_tools_safety</c:v>
                </c:pt>
                <c:pt idx="40">
                  <c:v>industry_commerce_and_business</c:v>
                </c:pt>
                <c:pt idx="41">
                  <c:v>food</c:v>
                </c:pt>
                <c:pt idx="42">
                  <c:v>market_place</c:v>
                </c:pt>
                <c:pt idx="43">
                  <c:v>costruction_tools_garden</c:v>
                </c:pt>
                <c:pt idx="44">
                  <c:v>art</c:v>
                </c:pt>
                <c:pt idx="45">
                  <c:v>fashion_shoes</c:v>
                </c:pt>
                <c:pt idx="46">
                  <c:v>drinks</c:v>
                </c:pt>
                <c:pt idx="47">
                  <c:v>signaling_and_security</c:v>
                </c:pt>
                <c:pt idx="48">
                  <c:v>furniture_bedroom</c:v>
                </c:pt>
                <c:pt idx="49">
                  <c:v>books_technical</c:v>
                </c:pt>
                <c:pt idx="50">
                  <c:v>costruction_tools_tools</c:v>
                </c:pt>
                <c:pt idx="51">
                  <c:v>food_drink</c:v>
                </c:pt>
                <c:pt idx="52">
                  <c:v>fashion_male_clothing</c:v>
                </c:pt>
                <c:pt idx="53">
                  <c:v>fashion_underwear_beach</c:v>
                </c:pt>
                <c:pt idx="54">
                  <c:v>christmas_supplies</c:v>
                </c:pt>
                <c:pt idx="55">
                  <c:v>tablets_printing_image</c:v>
                </c:pt>
                <c:pt idx="56">
                  <c:v>cine_photo</c:v>
                </c:pt>
                <c:pt idx="57">
                  <c:v>music</c:v>
                </c:pt>
                <c:pt idx="58">
                  <c:v>dvds_blu_ray</c:v>
                </c:pt>
                <c:pt idx="59">
                  <c:v>books_imported</c:v>
                </c:pt>
                <c:pt idx="60">
                  <c:v>party_supplies</c:v>
                </c:pt>
                <c:pt idx="61">
                  <c:v>furniture_mattress_and_upholstery</c:v>
                </c:pt>
                <c:pt idx="62">
                  <c:v>portateis_cozinha_e_preparadores_de_alimentos</c:v>
                </c:pt>
                <c:pt idx="63">
                  <c:v>fashio_female_clothing</c:v>
                </c:pt>
                <c:pt idx="64">
                  <c:v>fashion_sport</c:v>
                </c:pt>
                <c:pt idx="65">
                  <c:v>la_cuisine</c:v>
                </c:pt>
                <c:pt idx="66">
                  <c:v>arts_and_craftmanship</c:v>
                </c:pt>
                <c:pt idx="67">
                  <c:v>diapers_and_hygiene</c:v>
                </c:pt>
                <c:pt idx="68">
                  <c:v>pc_gamer</c:v>
                </c:pt>
                <c:pt idx="69">
                  <c:v>flowers</c:v>
                </c:pt>
                <c:pt idx="70">
                  <c:v>home_comfort_2</c:v>
                </c:pt>
                <c:pt idx="71">
                  <c:v>cds_dvds_musicals</c:v>
                </c:pt>
                <c:pt idx="72">
                  <c:v>fashion_childrens_clothes</c:v>
                </c:pt>
                <c:pt idx="73">
                  <c:v>security_and_services</c:v>
                </c:pt>
              </c:strCache>
            </c:strRef>
          </c:cat>
          <c:val>
            <c:numRef>
              <c:f>' Product Analysis'!$C$2:$C$75</c:f>
              <c:numCache>
                <c:formatCode>General</c:formatCode>
                <c:ptCount val="74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  <c:pt idx="10">
                  <c:v>483946.6</c:v>
                </c:pt>
                <c:pt idx="11">
                  <c:v>411764.89</c:v>
                </c:pt>
                <c:pt idx="12">
                  <c:v>399124.87</c:v>
                </c:pt>
                <c:pt idx="13">
                  <c:v>323667.53000000003</c:v>
                </c:pt>
                <c:pt idx="14">
                  <c:v>273960.7</c:v>
                </c:pt>
                <c:pt idx="15">
                  <c:v>230943.23</c:v>
                </c:pt>
                <c:pt idx="16">
                  <c:v>222963.13</c:v>
                </c:pt>
                <c:pt idx="17">
                  <c:v>214315.41</c:v>
                </c:pt>
                <c:pt idx="18">
                  <c:v>191498.88</c:v>
                </c:pt>
                <c:pt idx="19">
                  <c:v>190648.58</c:v>
                </c:pt>
                <c:pt idx="20">
                  <c:v>179535.28</c:v>
                </c:pt>
                <c:pt idx="21">
                  <c:v>160246.74</c:v>
                </c:pt>
                <c:pt idx="22">
                  <c:v>157465.22</c:v>
                </c:pt>
                <c:pt idx="23">
                  <c:v>152823.54</c:v>
                </c:pt>
                <c:pt idx="24">
                  <c:v>144677.59</c:v>
                </c:pt>
                <c:pt idx="25">
                  <c:v>140429.98000000001</c:v>
                </c:pt>
                <c:pt idx="26">
                  <c:v>113317.74</c:v>
                </c:pt>
                <c:pt idx="27">
                  <c:v>83088.12</c:v>
                </c:pt>
                <c:pt idx="28">
                  <c:v>80171.53</c:v>
                </c:pt>
                <c:pt idx="29">
                  <c:v>72530.47</c:v>
                </c:pt>
                <c:pt idx="30">
                  <c:v>68916.56</c:v>
                </c:pt>
                <c:pt idx="31">
                  <c:v>59583</c:v>
                </c:pt>
                <c:pt idx="32">
                  <c:v>58572.04</c:v>
                </c:pt>
                <c:pt idx="33">
                  <c:v>55024.959999999999</c:v>
                </c:pt>
                <c:pt idx="34">
                  <c:v>50688.5</c:v>
                </c:pt>
                <c:pt idx="35">
                  <c:v>47445.71</c:v>
                </c:pt>
                <c:pt idx="36">
                  <c:v>46856.88</c:v>
                </c:pt>
                <c:pt idx="37">
                  <c:v>46328.37</c:v>
                </c:pt>
                <c:pt idx="38">
                  <c:v>41080</c:v>
                </c:pt>
                <c:pt idx="39">
                  <c:v>40544.519999999997</c:v>
                </c:pt>
                <c:pt idx="40">
                  <c:v>39669.61</c:v>
                </c:pt>
                <c:pt idx="41">
                  <c:v>29393.41</c:v>
                </c:pt>
                <c:pt idx="42">
                  <c:v>28378.47</c:v>
                </c:pt>
                <c:pt idx="43">
                  <c:v>25715.89</c:v>
                </c:pt>
                <c:pt idx="44">
                  <c:v>24202.639999999999</c:v>
                </c:pt>
                <c:pt idx="45">
                  <c:v>23562.77</c:v>
                </c:pt>
                <c:pt idx="46">
                  <c:v>22428.7</c:v>
                </c:pt>
                <c:pt idx="47">
                  <c:v>21509.23</c:v>
                </c:pt>
                <c:pt idx="48">
                  <c:v>20028.78</c:v>
                </c:pt>
                <c:pt idx="49">
                  <c:v>19096.060000000001</c:v>
                </c:pt>
                <c:pt idx="50">
                  <c:v>15903.95</c:v>
                </c:pt>
                <c:pt idx="51">
                  <c:v>15179.48</c:v>
                </c:pt>
                <c:pt idx="52">
                  <c:v>10797.82</c:v>
                </c:pt>
                <c:pt idx="53">
                  <c:v>9541.5499999999993</c:v>
                </c:pt>
                <c:pt idx="54">
                  <c:v>8800.82</c:v>
                </c:pt>
                <c:pt idx="55">
                  <c:v>7528.41</c:v>
                </c:pt>
                <c:pt idx="56">
                  <c:v>6933.46</c:v>
                </c:pt>
                <c:pt idx="57">
                  <c:v>6034.35</c:v>
                </c:pt>
                <c:pt idx="58">
                  <c:v>5999.39</c:v>
                </c:pt>
                <c:pt idx="59">
                  <c:v>4639.8500000000004</c:v>
                </c:pt>
                <c:pt idx="60">
                  <c:v>4485.18</c:v>
                </c:pt>
                <c:pt idx="61">
                  <c:v>4368.08</c:v>
                </c:pt>
                <c:pt idx="62">
                  <c:v>3968.53</c:v>
                </c:pt>
                <c:pt idx="63">
                  <c:v>2803.64</c:v>
                </c:pt>
                <c:pt idx="64">
                  <c:v>2119.5100000000002</c:v>
                </c:pt>
                <c:pt idx="65">
                  <c:v>2054.9899999999998</c:v>
                </c:pt>
                <c:pt idx="66">
                  <c:v>1814.01</c:v>
                </c:pt>
                <c:pt idx="67">
                  <c:v>1567.59</c:v>
                </c:pt>
                <c:pt idx="68">
                  <c:v>1545.95</c:v>
                </c:pt>
                <c:pt idx="69">
                  <c:v>1110.04</c:v>
                </c:pt>
                <c:pt idx="70">
                  <c:v>760.27</c:v>
                </c:pt>
                <c:pt idx="71">
                  <c:v>730</c:v>
                </c:pt>
                <c:pt idx="72">
                  <c:v>569.85</c:v>
                </c:pt>
                <c:pt idx="73">
                  <c:v>283.29000000000002</c:v>
                </c:pt>
              </c:numCache>
            </c:numRef>
          </c:val>
        </c:ser>
        <c:axId val="80745216"/>
        <c:axId val="80746752"/>
      </c:barChart>
      <c:catAx>
        <c:axId val="80745216"/>
        <c:scaling>
          <c:orientation val="minMax"/>
        </c:scaling>
        <c:axPos val="l"/>
        <c:tickLblPos val="nextTo"/>
        <c:crossAx val="80746752"/>
        <c:crosses val="autoZero"/>
        <c:auto val="1"/>
        <c:lblAlgn val="ctr"/>
        <c:lblOffset val="100"/>
      </c:catAx>
      <c:valAx>
        <c:axId val="80746752"/>
        <c:scaling>
          <c:orientation val="minMax"/>
        </c:scaling>
        <c:axPos val="b"/>
        <c:majorGridlines/>
        <c:numFmt formatCode="General" sourceLinked="1"/>
        <c:tickLblPos val="nextTo"/>
        <c:crossAx val="8074521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Late Delivery Rate</a:t>
            </a:r>
          </a:p>
        </c:rich>
      </c:tx>
      <c:layout>
        <c:manualLayout>
          <c:xMode val="edge"/>
          <c:yMode val="edge"/>
          <c:x val="0.20215673040869886"/>
          <c:y val="1.8518518518518524E-2"/>
        </c:manualLayout>
      </c:layout>
    </c:title>
    <c:plotArea>
      <c:layout/>
      <c:lineChart>
        <c:grouping val="standard"/>
        <c:ser>
          <c:idx val="0"/>
          <c:order val="0"/>
          <c:tx>
            <c:strRef>
              <c:f>'Delivery Analysis'!$E$1</c:f>
              <c:strCache>
                <c:ptCount val="1"/>
                <c:pt idx="0">
                  <c:v>LateDeliveryRatePercent</c:v>
                </c:pt>
              </c:strCache>
            </c:strRef>
          </c:tx>
          <c:marker>
            <c:symbol val="none"/>
          </c:marker>
          <c:cat>
            <c:strRef>
              <c:f>'Delivery Analysis'!$G$2:$G$24</c:f>
              <c:strCache>
                <c:ptCount val="23"/>
                <c:pt idx="0">
                  <c:v>Sep 2016</c:v>
                </c:pt>
                <c:pt idx="1">
                  <c:v>Oct 2016</c:v>
                </c:pt>
                <c:pt idx="2">
                  <c:v>Dec 2016</c:v>
                </c:pt>
                <c:pt idx="3">
                  <c:v>Jan 2017</c:v>
                </c:pt>
                <c:pt idx="4">
                  <c:v>Feb 2017</c:v>
                </c:pt>
                <c:pt idx="5">
                  <c:v>Mar 2017</c:v>
                </c:pt>
                <c:pt idx="6">
                  <c:v>Apr 2017</c:v>
                </c:pt>
                <c:pt idx="7">
                  <c:v>May 2017</c:v>
                </c:pt>
                <c:pt idx="8">
                  <c:v>Jun 2017</c:v>
                </c:pt>
                <c:pt idx="9">
                  <c:v>Jul 2017</c:v>
                </c:pt>
                <c:pt idx="10">
                  <c:v>Aug 2017</c:v>
                </c:pt>
                <c:pt idx="11">
                  <c:v>Sep 2017</c:v>
                </c:pt>
                <c:pt idx="12">
                  <c:v>Oct 2017</c:v>
                </c:pt>
                <c:pt idx="13">
                  <c:v>Nov 2017</c:v>
                </c:pt>
                <c:pt idx="14">
                  <c:v>Dec 2017</c:v>
                </c:pt>
                <c:pt idx="15">
                  <c:v>Jan 2018</c:v>
                </c:pt>
                <c:pt idx="16">
                  <c:v>Feb 2018</c:v>
                </c:pt>
                <c:pt idx="17">
                  <c:v>Mar 2018</c:v>
                </c:pt>
                <c:pt idx="18">
                  <c:v>Apr 2018</c:v>
                </c:pt>
                <c:pt idx="19">
                  <c:v>May 2018</c:v>
                </c:pt>
                <c:pt idx="20">
                  <c:v>Jun 2018</c:v>
                </c:pt>
                <c:pt idx="21">
                  <c:v>Jul 2018</c:v>
                </c:pt>
                <c:pt idx="22">
                  <c:v>Aug 2018</c:v>
                </c:pt>
              </c:strCache>
            </c:strRef>
          </c:cat>
          <c:val>
            <c:numRef>
              <c:f>'Delivery Analysis'!$E$2:$E$24</c:f>
              <c:numCache>
                <c:formatCode>0.00</c:formatCode>
                <c:ptCount val="23"/>
                <c:pt idx="0">
                  <c:v>100</c:v>
                </c:pt>
                <c:pt idx="1">
                  <c:v>1.1111111111111112</c:v>
                </c:pt>
                <c:pt idx="2">
                  <c:v>0</c:v>
                </c:pt>
                <c:pt idx="3">
                  <c:v>3.0666666666666664</c:v>
                </c:pt>
                <c:pt idx="4">
                  <c:v>3.2062915910465817</c:v>
                </c:pt>
                <c:pt idx="5">
                  <c:v>5.5773762765121759</c:v>
                </c:pt>
                <c:pt idx="6">
                  <c:v>7.8593139383412947</c:v>
                </c:pt>
                <c:pt idx="7">
                  <c:v>3.6107193229901267</c:v>
                </c:pt>
                <c:pt idx="8">
                  <c:v>3.8596491228070176</c:v>
                </c:pt>
                <c:pt idx="9">
                  <c:v>3.4349173553719003</c:v>
                </c:pt>
                <c:pt idx="10">
                  <c:v>3.3150488910088241</c:v>
                </c:pt>
                <c:pt idx="11">
                  <c:v>5.2048192771084336</c:v>
                </c:pt>
                <c:pt idx="12">
                  <c:v>5.2925413130861996</c:v>
                </c:pt>
                <c:pt idx="13">
                  <c:v>14.31119648737651</c:v>
                </c:pt>
                <c:pt idx="14">
                  <c:v>8.3801922728097225</c:v>
                </c:pt>
                <c:pt idx="15">
                  <c:v>6.5638704201442923</c:v>
                </c:pt>
                <c:pt idx="16">
                  <c:v>16.000610128126908</c:v>
                </c:pt>
                <c:pt idx="17">
                  <c:v>21.362273311437953</c:v>
                </c:pt>
                <c:pt idx="18">
                  <c:v>5.3103854074727863</c:v>
                </c:pt>
                <c:pt idx="19">
                  <c:v>8.2382575196325387</c:v>
                </c:pt>
                <c:pt idx="20">
                  <c:v>1.3615485564304464</c:v>
                </c:pt>
                <c:pt idx="21">
                  <c:v>4.4834307992202724</c:v>
                </c:pt>
                <c:pt idx="22">
                  <c:v>10.392064241851678</c:v>
                </c:pt>
              </c:numCache>
            </c:numRef>
          </c:val>
        </c:ser>
        <c:marker val="1"/>
        <c:axId val="80939264"/>
        <c:axId val="80961536"/>
      </c:lineChart>
      <c:catAx>
        <c:axId val="80939264"/>
        <c:scaling>
          <c:orientation val="minMax"/>
        </c:scaling>
        <c:axPos val="b"/>
        <c:tickLblPos val="nextTo"/>
        <c:crossAx val="80961536"/>
        <c:crosses val="autoZero"/>
        <c:auto val="1"/>
        <c:lblAlgn val="ctr"/>
        <c:lblOffset val="100"/>
      </c:catAx>
      <c:valAx>
        <c:axId val="80961536"/>
        <c:scaling>
          <c:orientation val="minMax"/>
        </c:scaling>
        <c:axPos val="l"/>
        <c:majorGridlines/>
        <c:numFmt formatCode="0.00" sourceLinked="1"/>
        <c:tickLblPos val="nextTo"/>
        <c:crossAx val="8093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462255897258158"/>
          <c:y val="0.52984288422280545"/>
          <c:w val="0.33445823411603298"/>
          <c:h val="0.20211609227238561"/>
        </c:manualLayout>
      </c:layout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Delivery Days by Month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'Delivery Analysis'!$F$1</c:f>
              <c:strCache>
                <c:ptCount val="1"/>
                <c:pt idx="0">
                  <c:v>AverageDeliveryDays</c:v>
                </c:pt>
              </c:strCache>
            </c:strRef>
          </c:tx>
          <c:cat>
            <c:strRef>
              <c:f>'Delivery Analysis'!$G$2:$G$24</c:f>
              <c:strCache>
                <c:ptCount val="23"/>
                <c:pt idx="0">
                  <c:v>Sep 2016</c:v>
                </c:pt>
                <c:pt idx="1">
                  <c:v>Oct 2016</c:v>
                </c:pt>
                <c:pt idx="2">
                  <c:v>Dec 2016</c:v>
                </c:pt>
                <c:pt idx="3">
                  <c:v>Jan 2017</c:v>
                </c:pt>
                <c:pt idx="4">
                  <c:v>Feb 2017</c:v>
                </c:pt>
                <c:pt idx="5">
                  <c:v>Mar 2017</c:v>
                </c:pt>
                <c:pt idx="6">
                  <c:v>Apr 2017</c:v>
                </c:pt>
                <c:pt idx="7">
                  <c:v>May 2017</c:v>
                </c:pt>
                <c:pt idx="8">
                  <c:v>Jun 2017</c:v>
                </c:pt>
                <c:pt idx="9">
                  <c:v>Jul 2017</c:v>
                </c:pt>
                <c:pt idx="10">
                  <c:v>Aug 2017</c:v>
                </c:pt>
                <c:pt idx="11">
                  <c:v>Sep 2017</c:v>
                </c:pt>
                <c:pt idx="12">
                  <c:v>Oct 2017</c:v>
                </c:pt>
                <c:pt idx="13">
                  <c:v>Nov 2017</c:v>
                </c:pt>
                <c:pt idx="14">
                  <c:v>Dec 2017</c:v>
                </c:pt>
                <c:pt idx="15">
                  <c:v>Jan 2018</c:v>
                </c:pt>
                <c:pt idx="16">
                  <c:v>Feb 2018</c:v>
                </c:pt>
                <c:pt idx="17">
                  <c:v>Mar 2018</c:v>
                </c:pt>
                <c:pt idx="18">
                  <c:v>Apr 2018</c:v>
                </c:pt>
                <c:pt idx="19">
                  <c:v>May 2018</c:v>
                </c:pt>
                <c:pt idx="20">
                  <c:v>Jun 2018</c:v>
                </c:pt>
                <c:pt idx="21">
                  <c:v>Jul 2018</c:v>
                </c:pt>
                <c:pt idx="22">
                  <c:v>Aug 2018</c:v>
                </c:pt>
              </c:strCache>
            </c:strRef>
          </c:cat>
          <c:val>
            <c:numRef>
              <c:f>'Delivery Analysis'!$F$2:$F$24</c:f>
              <c:numCache>
                <c:formatCode>0.00</c:formatCode>
                <c:ptCount val="23"/>
                <c:pt idx="0">
                  <c:v>54.81</c:v>
                </c:pt>
                <c:pt idx="1">
                  <c:v>19.579999999999998</c:v>
                </c:pt>
                <c:pt idx="2">
                  <c:v>4.6900000000000004</c:v>
                </c:pt>
                <c:pt idx="3">
                  <c:v>12.65</c:v>
                </c:pt>
                <c:pt idx="4">
                  <c:v>13.17</c:v>
                </c:pt>
                <c:pt idx="5">
                  <c:v>12.95</c:v>
                </c:pt>
                <c:pt idx="6">
                  <c:v>14.92</c:v>
                </c:pt>
                <c:pt idx="7">
                  <c:v>11.32</c:v>
                </c:pt>
                <c:pt idx="8">
                  <c:v>12.01</c:v>
                </c:pt>
                <c:pt idx="9">
                  <c:v>11.59</c:v>
                </c:pt>
                <c:pt idx="10">
                  <c:v>11.15</c:v>
                </c:pt>
                <c:pt idx="11">
                  <c:v>11.85</c:v>
                </c:pt>
                <c:pt idx="12">
                  <c:v>11.86</c:v>
                </c:pt>
                <c:pt idx="13">
                  <c:v>15.16</c:v>
                </c:pt>
                <c:pt idx="14">
                  <c:v>15.39</c:v>
                </c:pt>
                <c:pt idx="15">
                  <c:v>14.08</c:v>
                </c:pt>
                <c:pt idx="16">
                  <c:v>16.95</c:v>
                </c:pt>
                <c:pt idx="17">
                  <c:v>16.3</c:v>
                </c:pt>
                <c:pt idx="18">
                  <c:v>11.5</c:v>
                </c:pt>
                <c:pt idx="19">
                  <c:v>11.42</c:v>
                </c:pt>
                <c:pt idx="20">
                  <c:v>9.24</c:v>
                </c:pt>
                <c:pt idx="21">
                  <c:v>8.9600000000000009</c:v>
                </c:pt>
                <c:pt idx="22">
                  <c:v>7.73</c:v>
                </c:pt>
              </c:numCache>
            </c:numRef>
          </c:val>
        </c:ser>
        <c:axId val="80973184"/>
        <c:axId val="80995456"/>
      </c:barChart>
      <c:catAx>
        <c:axId val="80973184"/>
        <c:scaling>
          <c:orientation val="minMax"/>
        </c:scaling>
        <c:axPos val="b"/>
        <c:tickLblPos val="nextTo"/>
        <c:crossAx val="80995456"/>
        <c:crosses val="autoZero"/>
        <c:auto val="1"/>
        <c:lblAlgn val="ctr"/>
        <c:lblOffset val="100"/>
      </c:catAx>
      <c:valAx>
        <c:axId val="80995456"/>
        <c:scaling>
          <c:orientation val="minMax"/>
        </c:scaling>
        <c:axPos val="l"/>
        <c:majorGridlines/>
        <c:numFmt formatCode="0.00" sourceLinked="1"/>
        <c:tickLblPos val="nextTo"/>
        <c:crossAx val="8097318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[Ecommerce_Analysis.xlsx]PivotTables!PivotTable4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</a:t>
            </a:r>
            <a:r>
              <a:rPr lang="en-US" sz="1800" b="1" i="0" u="none" strike="noStrike" baseline="0"/>
              <a:t>op Product Categories by Revenue</a:t>
            </a:r>
            <a:endParaRPr lang="en-US"/>
          </a:p>
        </c:rich>
      </c:tx>
      <c:layout>
        <c:manualLayout>
          <c:xMode val="edge"/>
          <c:yMode val="edge"/>
          <c:x val="0.24248830265732116"/>
          <c:y val="0"/>
        </c:manualLayout>
      </c:layout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view3D>
      <c:rAngAx val="1"/>
    </c:view3D>
    <c:plotArea>
      <c:layout>
        <c:manualLayout>
          <c:layoutTarget val="inner"/>
          <c:xMode val="edge"/>
          <c:yMode val="edge"/>
          <c:x val="0.53229363473444391"/>
          <c:y val="0.12845771411679341"/>
          <c:w val="0.30573664808752826"/>
          <c:h val="0.77646176943931389"/>
        </c:manualLayout>
      </c:layout>
      <c:bar3DChart>
        <c:barDir val="bar"/>
        <c:grouping val="stacked"/>
        <c:ser>
          <c:idx val="0"/>
          <c:order val="0"/>
          <c:tx>
            <c:strRef>
              <c:f>PivotTables!$B$1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PivotTables!$A$2:$A$76</c:f>
              <c:strCache>
                <c:ptCount val="74"/>
                <c:pt idx="0">
                  <c:v>agro_industry_and_commerce</c:v>
                </c:pt>
                <c:pt idx="1">
                  <c:v>air_conditioning</c:v>
                </c:pt>
                <c:pt idx="2">
                  <c:v>art</c:v>
                </c:pt>
                <c:pt idx="3">
                  <c:v>arts_and_craftmanship</c:v>
                </c:pt>
                <c:pt idx="4">
                  <c:v>audio</c:v>
                </c:pt>
                <c:pt idx="5">
                  <c:v>auto</c:v>
                </c:pt>
                <c:pt idx="6">
                  <c:v>baby</c:v>
                </c:pt>
                <c:pt idx="7">
                  <c:v>bed_bath_table</c:v>
                </c:pt>
                <c:pt idx="8">
                  <c:v>books_general_interest</c:v>
                </c:pt>
                <c:pt idx="9">
                  <c:v>books_imported</c:v>
                </c:pt>
                <c:pt idx="10">
                  <c:v>books_technical</c:v>
                </c:pt>
                <c:pt idx="11">
                  <c:v>cds_dvds_musicals</c:v>
                </c:pt>
                <c:pt idx="12">
                  <c:v>christmas_supplies</c:v>
                </c:pt>
                <c:pt idx="13">
                  <c:v>cine_photo</c:v>
                </c:pt>
                <c:pt idx="14">
                  <c:v>computers</c:v>
                </c:pt>
                <c:pt idx="15">
                  <c:v>computers_accessories</c:v>
                </c:pt>
                <c:pt idx="16">
                  <c:v>consoles_games</c:v>
                </c:pt>
                <c:pt idx="17">
                  <c:v>construction_tools_construction</c:v>
                </c:pt>
                <c:pt idx="18">
                  <c:v>construction_tools_lights</c:v>
                </c:pt>
                <c:pt idx="19">
                  <c:v>construction_tools_safety</c:v>
                </c:pt>
                <c:pt idx="20">
                  <c:v>cool_stuff</c:v>
                </c:pt>
                <c:pt idx="21">
                  <c:v>costruction_tools_garden</c:v>
                </c:pt>
                <c:pt idx="22">
                  <c:v>costruction_tools_tools</c:v>
                </c:pt>
                <c:pt idx="23">
                  <c:v>diapers_and_hygiene</c:v>
                </c:pt>
                <c:pt idx="24">
                  <c:v>drinks</c:v>
                </c:pt>
                <c:pt idx="25">
                  <c:v>dvds_blu_ray</c:v>
                </c:pt>
                <c:pt idx="26">
                  <c:v>electronics</c:v>
                </c:pt>
                <c:pt idx="27">
                  <c:v>fashio_female_clothing</c:v>
                </c:pt>
                <c:pt idx="28">
                  <c:v>fashion_bags_accessories</c:v>
                </c:pt>
                <c:pt idx="29">
                  <c:v>fashion_childrens_clothes</c:v>
                </c:pt>
                <c:pt idx="30">
                  <c:v>fashion_male_clothing</c:v>
                </c:pt>
                <c:pt idx="31">
                  <c:v>fashion_shoes</c:v>
                </c:pt>
                <c:pt idx="32">
                  <c:v>fashion_sport</c:v>
                </c:pt>
                <c:pt idx="33">
                  <c:v>fashion_underwear_beach</c:v>
                </c:pt>
                <c:pt idx="34">
                  <c:v>fixed_telephony</c:v>
                </c:pt>
                <c:pt idx="35">
                  <c:v>flowers</c:v>
                </c:pt>
                <c:pt idx="36">
                  <c:v>food</c:v>
                </c:pt>
                <c:pt idx="37">
                  <c:v>food_drink</c:v>
                </c:pt>
                <c:pt idx="38">
                  <c:v>furniture_bedroom</c:v>
                </c:pt>
                <c:pt idx="39">
                  <c:v>furniture_decor</c:v>
                </c:pt>
                <c:pt idx="40">
                  <c:v>furniture_living_room</c:v>
                </c:pt>
                <c:pt idx="41">
                  <c:v>furniture_mattress_and_upholstery</c:v>
                </c:pt>
                <c:pt idx="42">
                  <c:v>garden_tools</c:v>
                </c:pt>
                <c:pt idx="43">
                  <c:v>health_beauty</c:v>
                </c:pt>
                <c:pt idx="44">
                  <c:v>home_appliances</c:v>
                </c:pt>
                <c:pt idx="45">
                  <c:v>home_appliances_2</c:v>
                </c:pt>
                <c:pt idx="46">
                  <c:v>home_comfort_2</c:v>
                </c:pt>
                <c:pt idx="47">
                  <c:v>home_confort</c:v>
                </c:pt>
                <c:pt idx="48">
                  <c:v>home_construction</c:v>
                </c:pt>
                <c:pt idx="49">
                  <c:v>housewares</c:v>
                </c:pt>
                <c:pt idx="50">
                  <c:v>industry_commerce_and_business</c:v>
                </c:pt>
                <c:pt idx="51">
                  <c:v>kitchen_dining_laundry_garden_furniture</c:v>
                </c:pt>
                <c:pt idx="52">
                  <c:v>la_cuisine</c:v>
                </c:pt>
                <c:pt idx="53">
                  <c:v>luggage_accessories</c:v>
                </c:pt>
                <c:pt idx="54">
                  <c:v>market_place</c:v>
                </c:pt>
                <c:pt idx="55">
                  <c:v>music</c:v>
                </c:pt>
                <c:pt idx="56">
                  <c:v>musical_instruments</c:v>
                </c:pt>
                <c:pt idx="57">
                  <c:v>office_furniture</c:v>
                </c:pt>
                <c:pt idx="58">
                  <c:v>party_supplies</c:v>
                </c:pt>
                <c:pt idx="59">
                  <c:v>pc_gamer</c:v>
                </c:pt>
                <c:pt idx="60">
                  <c:v>perfumery</c:v>
                </c:pt>
                <c:pt idx="61">
                  <c:v>pet_shop</c:v>
                </c:pt>
                <c:pt idx="62">
                  <c:v>portateis_cozinha_e_preparadores_de_alimentos</c:v>
                </c:pt>
                <c:pt idx="63">
                  <c:v>security_and_services</c:v>
                </c:pt>
                <c:pt idx="64">
                  <c:v>signaling_and_security</c:v>
                </c:pt>
                <c:pt idx="65">
                  <c:v>small_appliances</c:v>
                </c:pt>
                <c:pt idx="66">
                  <c:v>small_appliances_home_oven_and_coffee</c:v>
                </c:pt>
                <c:pt idx="67">
                  <c:v>sports_leisure</c:v>
                </c:pt>
                <c:pt idx="68">
                  <c:v>stationery</c:v>
                </c:pt>
                <c:pt idx="69">
                  <c:v>tablets_printing_image</c:v>
                </c:pt>
                <c:pt idx="70">
                  <c:v>telephony</c:v>
                </c:pt>
                <c:pt idx="71">
                  <c:v>toys</c:v>
                </c:pt>
                <c:pt idx="72">
                  <c:v>Unknown</c:v>
                </c:pt>
                <c:pt idx="73">
                  <c:v>watches_gifts</c:v>
                </c:pt>
              </c:strCache>
            </c:strRef>
          </c:cat>
          <c:val>
            <c:numRef>
              <c:f>PivotTables!$B$2:$B$76</c:f>
              <c:numCache>
                <c:formatCode>General</c:formatCode>
                <c:ptCount val="74"/>
                <c:pt idx="0">
                  <c:v>72530.47</c:v>
                </c:pt>
                <c:pt idx="1">
                  <c:v>55024.959999999999</c:v>
                </c:pt>
                <c:pt idx="2">
                  <c:v>24202.639999999999</c:v>
                </c:pt>
                <c:pt idx="3">
                  <c:v>1814.01</c:v>
                </c:pt>
                <c:pt idx="4">
                  <c:v>50688.5</c:v>
                </c:pt>
                <c:pt idx="5">
                  <c:v>592720.11</c:v>
                </c:pt>
                <c:pt idx="6">
                  <c:v>411764.89</c:v>
                </c:pt>
                <c:pt idx="7">
                  <c:v>1036988.68</c:v>
                </c:pt>
                <c:pt idx="8">
                  <c:v>46856.88</c:v>
                </c:pt>
                <c:pt idx="9">
                  <c:v>4639.8500000000004</c:v>
                </c:pt>
                <c:pt idx="10">
                  <c:v>19096.060000000001</c:v>
                </c:pt>
                <c:pt idx="11">
                  <c:v>730</c:v>
                </c:pt>
                <c:pt idx="12">
                  <c:v>8800.82</c:v>
                </c:pt>
                <c:pt idx="13">
                  <c:v>6933.46</c:v>
                </c:pt>
                <c:pt idx="14">
                  <c:v>222963.13</c:v>
                </c:pt>
                <c:pt idx="15">
                  <c:v>911954.32</c:v>
                </c:pt>
                <c:pt idx="16">
                  <c:v>157465.22</c:v>
                </c:pt>
                <c:pt idx="17">
                  <c:v>144677.59</c:v>
                </c:pt>
                <c:pt idx="18">
                  <c:v>41080</c:v>
                </c:pt>
                <c:pt idx="19">
                  <c:v>40544.519999999997</c:v>
                </c:pt>
                <c:pt idx="20">
                  <c:v>635290.85</c:v>
                </c:pt>
                <c:pt idx="21">
                  <c:v>25715.89</c:v>
                </c:pt>
                <c:pt idx="22">
                  <c:v>15903.95</c:v>
                </c:pt>
                <c:pt idx="23">
                  <c:v>1567.59</c:v>
                </c:pt>
                <c:pt idx="24">
                  <c:v>22428.7</c:v>
                </c:pt>
                <c:pt idx="25">
                  <c:v>5999.39</c:v>
                </c:pt>
                <c:pt idx="26">
                  <c:v>160246.74</c:v>
                </c:pt>
                <c:pt idx="27">
                  <c:v>2803.64</c:v>
                </c:pt>
                <c:pt idx="28">
                  <c:v>152823.54</c:v>
                </c:pt>
                <c:pt idx="29">
                  <c:v>569.85</c:v>
                </c:pt>
                <c:pt idx="30">
                  <c:v>10797.82</c:v>
                </c:pt>
                <c:pt idx="31">
                  <c:v>23562.77</c:v>
                </c:pt>
                <c:pt idx="32">
                  <c:v>2119.5100000000002</c:v>
                </c:pt>
                <c:pt idx="33">
                  <c:v>9541.5499999999993</c:v>
                </c:pt>
                <c:pt idx="34">
                  <c:v>59583</c:v>
                </c:pt>
                <c:pt idx="35">
                  <c:v>1110.04</c:v>
                </c:pt>
                <c:pt idx="36">
                  <c:v>29393.41</c:v>
                </c:pt>
                <c:pt idx="37">
                  <c:v>15179.48</c:v>
                </c:pt>
                <c:pt idx="38">
                  <c:v>20028.78</c:v>
                </c:pt>
                <c:pt idx="39">
                  <c:v>729762.49</c:v>
                </c:pt>
                <c:pt idx="40">
                  <c:v>68916.56</c:v>
                </c:pt>
                <c:pt idx="41">
                  <c:v>4368.08</c:v>
                </c:pt>
                <c:pt idx="42">
                  <c:v>485256.46</c:v>
                </c:pt>
                <c:pt idx="43">
                  <c:v>1258681.3400000001</c:v>
                </c:pt>
                <c:pt idx="44">
                  <c:v>80171.53</c:v>
                </c:pt>
                <c:pt idx="45">
                  <c:v>113317.74</c:v>
                </c:pt>
                <c:pt idx="46">
                  <c:v>760.27</c:v>
                </c:pt>
                <c:pt idx="47">
                  <c:v>58572.04</c:v>
                </c:pt>
                <c:pt idx="48">
                  <c:v>83088.12</c:v>
                </c:pt>
                <c:pt idx="49">
                  <c:v>632248.66</c:v>
                </c:pt>
                <c:pt idx="50">
                  <c:v>39669.61</c:v>
                </c:pt>
                <c:pt idx="51">
                  <c:v>46328.37</c:v>
                </c:pt>
                <c:pt idx="52">
                  <c:v>2054.9899999999998</c:v>
                </c:pt>
                <c:pt idx="53">
                  <c:v>140429.98000000001</c:v>
                </c:pt>
                <c:pt idx="54">
                  <c:v>28378.47</c:v>
                </c:pt>
                <c:pt idx="55">
                  <c:v>6034.35</c:v>
                </c:pt>
                <c:pt idx="56">
                  <c:v>191498.88</c:v>
                </c:pt>
                <c:pt idx="57">
                  <c:v>273960.7</c:v>
                </c:pt>
                <c:pt idx="58">
                  <c:v>4485.18</c:v>
                </c:pt>
                <c:pt idx="59">
                  <c:v>1545.95</c:v>
                </c:pt>
                <c:pt idx="60">
                  <c:v>399124.87</c:v>
                </c:pt>
                <c:pt idx="61">
                  <c:v>214315.41</c:v>
                </c:pt>
                <c:pt idx="62">
                  <c:v>3968.53</c:v>
                </c:pt>
                <c:pt idx="63">
                  <c:v>283.29000000000002</c:v>
                </c:pt>
                <c:pt idx="64">
                  <c:v>21509.23</c:v>
                </c:pt>
                <c:pt idx="65">
                  <c:v>190648.58</c:v>
                </c:pt>
                <c:pt idx="66">
                  <c:v>47445.71</c:v>
                </c:pt>
                <c:pt idx="67">
                  <c:v>988048.97</c:v>
                </c:pt>
                <c:pt idx="68">
                  <c:v>230943.23</c:v>
                </c:pt>
                <c:pt idx="69">
                  <c:v>7528.41</c:v>
                </c:pt>
                <c:pt idx="70">
                  <c:v>323667.53000000003</c:v>
                </c:pt>
                <c:pt idx="71">
                  <c:v>483946.6</c:v>
                </c:pt>
                <c:pt idx="72">
                  <c:v>179535.28</c:v>
                </c:pt>
                <c:pt idx="73">
                  <c:v>1205005.68</c:v>
                </c:pt>
              </c:numCache>
            </c:numRef>
          </c:val>
        </c:ser>
        <c:shape val="box"/>
        <c:axId val="81069184"/>
        <c:axId val="81070720"/>
        <c:axId val="0"/>
      </c:bar3DChart>
      <c:catAx>
        <c:axId val="81069184"/>
        <c:scaling>
          <c:orientation val="minMax"/>
        </c:scaling>
        <c:axPos val="l"/>
        <c:tickLblPos val="nextTo"/>
        <c:crossAx val="81070720"/>
        <c:crosses val="autoZero"/>
        <c:auto val="1"/>
        <c:lblAlgn val="ctr"/>
        <c:lblOffset val="100"/>
      </c:catAx>
      <c:valAx>
        <c:axId val="81070720"/>
        <c:scaling>
          <c:orientation val="minMax"/>
        </c:scaling>
        <c:axPos val="b"/>
        <c:majorGridlines/>
        <c:numFmt formatCode="General" sourceLinked="1"/>
        <c:tickLblPos val="nextTo"/>
        <c:crossAx val="8106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563250616400242"/>
          <c:y val="0.46186819469348517"/>
          <c:w val="0.27921597868448272"/>
          <c:h val="0.11908552272550094"/>
        </c:manualLayout>
      </c:layout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[Ecommerce_Analysis.xlsx]PivotTables!PivotTable10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Customer Segment Revenue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073008115364893"/>
          <c:y val="0.1532524059492564"/>
          <c:w val="0.72966703874659367"/>
          <c:h val="0.68921660834062382"/>
        </c:manualLayout>
      </c:layout>
      <c:barChart>
        <c:barDir val="col"/>
        <c:grouping val="clustered"/>
        <c:ser>
          <c:idx val="0"/>
          <c:order val="0"/>
          <c:tx>
            <c:strRef>
              <c:f>PivotTables!$D$1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PivotTables!$C$2:$C$5</c:f>
              <c:strCache>
                <c:ptCount val="3"/>
                <c:pt idx="0">
                  <c:v>At Risk</c:v>
                </c:pt>
                <c:pt idx="1">
                  <c:v>Champions</c:v>
                </c:pt>
                <c:pt idx="2">
                  <c:v>Regular Customers</c:v>
                </c:pt>
              </c:strCache>
            </c:strRef>
          </c:cat>
          <c:val>
            <c:numRef>
              <c:f>PivotTables!$D$2:$D$5</c:f>
              <c:numCache>
                <c:formatCode>General</c:formatCode>
                <c:ptCount val="3"/>
                <c:pt idx="0">
                  <c:v>7652576.5899999999</c:v>
                </c:pt>
                <c:pt idx="1">
                  <c:v>20117.28</c:v>
                </c:pt>
                <c:pt idx="2">
                  <c:v>5918949.8300000001</c:v>
                </c:pt>
              </c:numCache>
            </c:numRef>
          </c:val>
        </c:ser>
        <c:axId val="81086720"/>
        <c:axId val="81104896"/>
      </c:barChart>
      <c:catAx>
        <c:axId val="81086720"/>
        <c:scaling>
          <c:orientation val="minMax"/>
        </c:scaling>
        <c:axPos val="b"/>
        <c:tickLblPos val="nextTo"/>
        <c:crossAx val="81104896"/>
        <c:crosses val="autoZero"/>
        <c:auto val="1"/>
        <c:lblAlgn val="ctr"/>
        <c:lblOffset val="100"/>
      </c:catAx>
      <c:valAx>
        <c:axId val="81104896"/>
        <c:scaling>
          <c:orientation val="minMax"/>
        </c:scaling>
        <c:axPos val="l"/>
        <c:majorGridlines/>
        <c:numFmt formatCode="General" sourceLinked="1"/>
        <c:tickLblPos val="nextTo"/>
        <c:crossAx val="8108672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7</xdr:row>
      <xdr:rowOff>180974</xdr:rowOff>
    </xdr:from>
    <xdr:to>
      <xdr:col>1</xdr:col>
      <xdr:colOff>1790699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0</xdr:row>
      <xdr:rowOff>0</xdr:rowOff>
    </xdr:from>
    <xdr:to>
      <xdr:col>18</xdr:col>
      <xdr:colOff>200025</xdr:colOff>
      <xdr:row>12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228599</xdr:colOff>
      <xdr:row>13</xdr:row>
      <xdr:rowOff>38101</xdr:rowOff>
    </xdr:from>
    <xdr:to>
      <xdr:col>17</xdr:col>
      <xdr:colOff>600074</xdr:colOff>
      <xdr:row>24</xdr:row>
      <xdr:rowOff>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3</xdr:col>
      <xdr:colOff>723900</xdr:colOff>
      <xdr:row>15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12</xdr:col>
      <xdr:colOff>314325</xdr:colOff>
      <xdr:row>15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1152526</xdr:colOff>
      <xdr:row>0</xdr:row>
      <xdr:rowOff>0</xdr:rowOff>
    </xdr:from>
    <xdr:to>
      <xdr:col>14</xdr:col>
      <xdr:colOff>323850</xdr:colOff>
      <xdr:row>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1162050</xdr:colOff>
      <xdr:row>11</xdr:row>
      <xdr:rowOff>19050</xdr:rowOff>
    </xdr:from>
    <xdr:to>
      <xdr:col>14</xdr:col>
      <xdr:colOff>276225</xdr:colOff>
      <xdr:row>22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400051</xdr:colOff>
      <xdr:row>0</xdr:row>
      <xdr:rowOff>9525</xdr:rowOff>
    </xdr:from>
    <xdr:to>
      <xdr:col>11</xdr:col>
      <xdr:colOff>171450</xdr:colOff>
      <xdr:row>14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1228725</xdr:colOff>
      <xdr:row>16</xdr:row>
      <xdr:rowOff>19050</xdr:rowOff>
    </xdr:from>
    <xdr:to>
      <xdr:col>11</xdr:col>
      <xdr:colOff>161924</xdr:colOff>
      <xdr:row>30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60.667838194444" createdVersion="3" refreshedVersion="3" minRefreshableVersion="3" recordCount="74">
  <cacheSource type="worksheet">
    <worksheetSource name="Table2[#All]"/>
  </cacheSource>
  <cacheFields count="4">
    <cacheField name="ProductCategory" numFmtId="0">
      <sharedItems count="74">
        <s v="health_beauty"/>
        <s v="watches_gifts"/>
        <s v="bed_bath_table"/>
        <s v="sports_leisure"/>
        <s v="computers_accessories"/>
        <s v="furniture_decor"/>
        <s v="cool_stuff"/>
        <s v="housewares"/>
        <s v="auto"/>
        <s v="garden_tools"/>
        <s v="toys"/>
        <s v="baby"/>
        <s v="perfumery"/>
        <s v="telephony"/>
        <s v="office_furniture"/>
        <s v="stationery"/>
        <s v="computers"/>
        <s v="pet_shop"/>
        <s v="musical_instruments"/>
        <s v="small_appliances"/>
        <s v="Unknown"/>
        <s v="electronics"/>
        <s v="consoles_games"/>
        <s v="fashion_bags_accessories"/>
        <s v="construction_tools_construction"/>
        <s v="luggage_accessories"/>
        <s v="home_appliances_2"/>
        <s v="home_construction"/>
        <s v="home_appliances"/>
        <s v="agro_industry_and_commerce"/>
        <s v="furniture_living_room"/>
        <s v="fixed_telephony"/>
        <s v="home_confort"/>
        <s v="air_conditioning"/>
        <s v="audio"/>
        <s v="small_appliances_home_oven_and_coffee"/>
        <s v="books_general_interest"/>
        <s v="kitchen_dining_laundry_garden_furniture"/>
        <s v="construction_tools_lights"/>
        <s v="construction_tools_safety"/>
        <s v="industry_commerce_and_business"/>
        <s v="food"/>
        <s v="market_place"/>
        <s v="costruction_tools_garden"/>
        <s v="art"/>
        <s v="fashion_shoes"/>
        <s v="drinks"/>
        <s v="signaling_and_security"/>
        <s v="furniture_bedroom"/>
        <s v="books_technical"/>
        <s v="costruction_tools_tools"/>
        <s v="food_drink"/>
        <s v="fashion_male_clothing"/>
        <s v="fashion_underwear_beach"/>
        <s v="christmas_supplies"/>
        <s v="tablets_printing_image"/>
        <s v="cine_photo"/>
        <s v="music"/>
        <s v="dvds_blu_ray"/>
        <s v="books_imported"/>
        <s v="party_supplies"/>
        <s v="furniture_mattress_and_upholstery"/>
        <s v="portateis_cozinha_e_preparadores_de_alimentos"/>
        <s v="fashio_female_clothing"/>
        <s v="fashion_sport"/>
        <s v="la_cuisine"/>
        <s v="arts_and_craftmanship"/>
        <s v="diapers_and_hygiene"/>
        <s v="pc_gamer"/>
        <s v="flowers"/>
        <s v="home_comfort_2"/>
        <s v="cds_dvds_musicals"/>
        <s v="fashion_childrens_clothes"/>
        <s v="security_and_services"/>
      </sharedItems>
    </cacheField>
    <cacheField name="TotalItemsSold" numFmtId="0">
      <sharedItems containsSemiMixedTypes="0" containsString="0" containsNumber="1" containsInteger="1" minValue="2" maxValue="11115"/>
    </cacheField>
    <cacheField name="TotalRevenue" numFmtId="0">
      <sharedItems containsSemiMixedTypes="0" containsString="0" containsNumber="1" minValue="283.29000000000002" maxValue="1258681.3400000001"/>
    </cacheField>
    <cacheField name="AverageSellingPrice" numFmtId="0">
      <sharedItems containsSemiMixedTypes="0" containsString="0" containsNumber="1" minValue="25.34" maxValue="1098.3399999999999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260.689588773152" createdVersion="3" refreshedVersion="3" minRefreshableVersion="3" recordCount="3">
  <cacheSource type="worksheet">
    <worksheetSource ref="A1:G4" sheet="Customer Analysis"/>
  </cacheSource>
  <cacheFields count="7">
    <cacheField name="CustomerSegment" numFmtId="0">
      <sharedItems count="3">
        <s v="At Risk"/>
        <s v="Regular Customers"/>
        <s v="Champions"/>
      </sharedItems>
    </cacheField>
    <cacheField name="TotalCustomers" numFmtId="0">
      <sharedItems containsSemiMixedTypes="0" containsString="0" containsNumber="1" containsInteger="1" minValue="19" maxValue="55823"/>
    </cacheField>
    <cacheField name="TotalOrders" numFmtId="0">
      <sharedItems containsSemiMixedTypes="0" containsString="0" containsNumber="1" containsInteger="1" minValue="86" maxValue="55823"/>
    </cacheField>
    <cacheField name="TotalRevenue" numFmtId="0">
      <sharedItems containsSemiMixedTypes="0" containsString="0" containsNumber="1" minValue="20117.28" maxValue="7652576.5899999999"/>
    </cacheField>
    <cacheField name="AverageRevenuePerCustomer" numFmtId="0">
      <sharedItems containsSemiMixedTypes="0" containsString="0" containsNumber="1" minValue="137.09" maxValue="1058.8"/>
    </cacheField>
    <cacheField name="AverageOrdersPerCustomer" numFmtId="0">
      <sharedItems containsSemiMixedTypes="0" containsString="0" containsNumber="1" minValue="1" maxValue="4.53"/>
    </cacheField>
    <cacheField name="RevenueSharePercent" numFmtId="0">
      <sharedItems containsSemiMixedTypes="0" containsString="0" containsNumber="1" minValue="0.15" maxValue="56.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">
  <r>
    <x v="0"/>
    <n v="9670"/>
    <n v="1258681.3400000001"/>
    <n v="130.16"/>
  </r>
  <r>
    <x v="1"/>
    <n v="5991"/>
    <n v="1205005.68"/>
    <n v="201.14"/>
  </r>
  <r>
    <x v="2"/>
    <n v="11115"/>
    <n v="1036988.68"/>
    <n v="93.3"/>
  </r>
  <r>
    <x v="3"/>
    <n v="8641"/>
    <n v="988048.97"/>
    <n v="114.34"/>
  </r>
  <r>
    <x v="4"/>
    <n v="7827"/>
    <n v="911954.32"/>
    <n v="116.51"/>
  </r>
  <r>
    <x v="5"/>
    <n v="8334"/>
    <n v="729762.49"/>
    <n v="87.56"/>
  </r>
  <r>
    <x v="6"/>
    <n v="3796"/>
    <n v="635290.85"/>
    <n v="167.36"/>
  </r>
  <r>
    <x v="7"/>
    <n v="6964"/>
    <n v="632248.66"/>
    <n v="90.79"/>
  </r>
  <r>
    <x v="8"/>
    <n v="4235"/>
    <n v="592720.11"/>
    <n v="139.96"/>
  </r>
  <r>
    <x v="9"/>
    <n v="4347"/>
    <n v="485256.46"/>
    <n v="111.63"/>
  </r>
  <r>
    <x v="10"/>
    <n v="4117"/>
    <n v="483946.6"/>
    <n v="117.55"/>
  </r>
  <r>
    <x v="11"/>
    <n v="3065"/>
    <n v="411764.89"/>
    <n v="134.34"/>
  </r>
  <r>
    <x v="12"/>
    <n v="3419"/>
    <n v="399124.87"/>
    <n v="116.74"/>
  </r>
  <r>
    <x v="13"/>
    <n v="4545"/>
    <n v="323667.53000000003"/>
    <n v="71.209999999999994"/>
  </r>
  <r>
    <x v="14"/>
    <n v="1691"/>
    <n v="273960.7"/>
    <n v="162.01"/>
  </r>
  <r>
    <x v="15"/>
    <n v="2517"/>
    <n v="230943.23"/>
    <n v="91.75"/>
  </r>
  <r>
    <x v="16"/>
    <n v="203"/>
    <n v="222963.13"/>
    <n v="1098.3399999999999"/>
  </r>
  <r>
    <x v="17"/>
    <n v="1947"/>
    <n v="214315.41"/>
    <n v="110.07"/>
  </r>
  <r>
    <x v="18"/>
    <n v="680"/>
    <n v="191498.88"/>
    <n v="281.62"/>
  </r>
  <r>
    <x v="19"/>
    <n v="679"/>
    <n v="190648.58"/>
    <n v="280.77999999999997"/>
  </r>
  <r>
    <x v="20"/>
    <n v="1603"/>
    <n v="179535.28"/>
    <n v="112"/>
  </r>
  <r>
    <x v="21"/>
    <n v="2767"/>
    <n v="160246.74"/>
    <n v="57.91"/>
  </r>
  <r>
    <x v="22"/>
    <n v="1137"/>
    <n v="157465.22"/>
    <n v="138.49"/>
  </r>
  <r>
    <x v="23"/>
    <n v="2031"/>
    <n v="152823.54"/>
    <n v="75.25"/>
  </r>
  <r>
    <x v="24"/>
    <n v="929"/>
    <n v="144677.59"/>
    <n v="155.72999999999999"/>
  </r>
  <r>
    <x v="25"/>
    <n v="1092"/>
    <n v="140429.98000000001"/>
    <n v="128.6"/>
  </r>
  <r>
    <x v="26"/>
    <n v="238"/>
    <n v="113317.74"/>
    <n v="476.12"/>
  </r>
  <r>
    <x v="27"/>
    <n v="604"/>
    <n v="83088.12"/>
    <n v="137.56"/>
  </r>
  <r>
    <x v="28"/>
    <n v="771"/>
    <n v="80171.53"/>
    <n v="103.98"/>
  </r>
  <r>
    <x v="29"/>
    <n v="212"/>
    <n v="72530.47"/>
    <n v="342.12"/>
  </r>
  <r>
    <x v="30"/>
    <n v="503"/>
    <n v="68916.56"/>
    <n v="137.01"/>
  </r>
  <r>
    <x v="31"/>
    <n v="264"/>
    <n v="59583"/>
    <n v="225.69"/>
  </r>
  <r>
    <x v="32"/>
    <n v="434"/>
    <n v="58572.04"/>
    <n v="134.96"/>
  </r>
  <r>
    <x v="33"/>
    <n v="297"/>
    <n v="55024.959999999999"/>
    <n v="185.27"/>
  </r>
  <r>
    <x v="34"/>
    <n v="364"/>
    <n v="50688.5"/>
    <n v="139.25"/>
  </r>
  <r>
    <x v="35"/>
    <n v="76"/>
    <n v="47445.71"/>
    <n v="624.29"/>
  </r>
  <r>
    <x v="36"/>
    <n v="553"/>
    <n v="46856.88"/>
    <n v="84.73"/>
  </r>
  <r>
    <x v="37"/>
    <n v="281"/>
    <n v="46328.37"/>
    <n v="164.87"/>
  </r>
  <r>
    <x v="38"/>
    <n v="304"/>
    <n v="41080"/>
    <n v="135.13"/>
  </r>
  <r>
    <x v="39"/>
    <n v="194"/>
    <n v="40544.519999999997"/>
    <n v="208.99"/>
  </r>
  <r>
    <x v="40"/>
    <n v="268"/>
    <n v="39669.61"/>
    <n v="148.02000000000001"/>
  </r>
  <r>
    <x v="41"/>
    <n v="510"/>
    <n v="29393.41"/>
    <n v="57.63"/>
  </r>
  <r>
    <x v="42"/>
    <n v="311"/>
    <n v="28378.47"/>
    <n v="91.25"/>
  </r>
  <r>
    <x v="43"/>
    <n v="238"/>
    <n v="25715.89"/>
    <n v="108.05"/>
  </r>
  <r>
    <x v="44"/>
    <n v="209"/>
    <n v="24202.639999999999"/>
    <n v="115.8"/>
  </r>
  <r>
    <x v="45"/>
    <n v="262"/>
    <n v="23562.77"/>
    <n v="89.93"/>
  </r>
  <r>
    <x v="46"/>
    <n v="379"/>
    <n v="22428.7"/>
    <n v="59.18"/>
  </r>
  <r>
    <x v="47"/>
    <n v="199"/>
    <n v="21509.23"/>
    <n v="108.09"/>
  </r>
  <r>
    <x v="48"/>
    <n v="109"/>
    <n v="20028.78"/>
    <n v="183.75"/>
  </r>
  <r>
    <x v="49"/>
    <n v="267"/>
    <n v="19096.060000000001"/>
    <n v="71.52"/>
  </r>
  <r>
    <x v="50"/>
    <n v="103"/>
    <n v="15903.95"/>
    <n v="154.41"/>
  </r>
  <r>
    <x v="51"/>
    <n v="278"/>
    <n v="15179.48"/>
    <n v="54.6"/>
  </r>
  <r>
    <x v="52"/>
    <n v="132"/>
    <n v="10797.82"/>
    <n v="81.8"/>
  </r>
  <r>
    <x v="53"/>
    <n v="131"/>
    <n v="9541.5499999999993"/>
    <n v="72.84"/>
  </r>
  <r>
    <x v="54"/>
    <n v="153"/>
    <n v="8800.82"/>
    <n v="57.52"/>
  </r>
  <r>
    <x v="55"/>
    <n v="83"/>
    <n v="7528.41"/>
    <n v="90.7"/>
  </r>
  <r>
    <x v="56"/>
    <n v="72"/>
    <n v="6933.46"/>
    <n v="96.3"/>
  </r>
  <r>
    <x v="57"/>
    <n v="38"/>
    <n v="6034.35"/>
    <n v="158.80000000000001"/>
  </r>
  <r>
    <x v="58"/>
    <n v="64"/>
    <n v="5999.39"/>
    <n v="93.74"/>
  </r>
  <r>
    <x v="59"/>
    <n v="60"/>
    <n v="4639.8500000000004"/>
    <n v="77.33"/>
  </r>
  <r>
    <x v="60"/>
    <n v="43"/>
    <n v="4485.18"/>
    <n v="104.31"/>
  </r>
  <r>
    <x v="61"/>
    <n v="38"/>
    <n v="4368.08"/>
    <n v="114.95"/>
  </r>
  <r>
    <x v="62"/>
    <n v="15"/>
    <n v="3968.53"/>
    <n v="264.57"/>
  </r>
  <r>
    <x v="63"/>
    <n v="48"/>
    <n v="2803.64"/>
    <n v="58.41"/>
  </r>
  <r>
    <x v="64"/>
    <n v="30"/>
    <n v="2119.5100000000002"/>
    <n v="70.650000000000006"/>
  </r>
  <r>
    <x v="65"/>
    <n v="14"/>
    <n v="2054.9899999999998"/>
    <n v="146.78"/>
  </r>
  <r>
    <x v="66"/>
    <n v="24"/>
    <n v="1814.01"/>
    <n v="75.58"/>
  </r>
  <r>
    <x v="67"/>
    <n v="39"/>
    <n v="1567.59"/>
    <n v="40.19"/>
  </r>
  <r>
    <x v="68"/>
    <n v="9"/>
    <n v="1545.95"/>
    <n v="171.77"/>
  </r>
  <r>
    <x v="69"/>
    <n v="33"/>
    <n v="1110.04"/>
    <n v="33.64"/>
  </r>
  <r>
    <x v="70"/>
    <n v="30"/>
    <n v="760.27"/>
    <n v="25.34"/>
  </r>
  <r>
    <x v="71"/>
    <n v="14"/>
    <n v="730"/>
    <n v="52.14"/>
  </r>
  <r>
    <x v="72"/>
    <n v="8"/>
    <n v="569.85"/>
    <n v="71.23"/>
  </r>
  <r>
    <x v="73"/>
    <n v="2"/>
    <n v="283.29000000000002"/>
    <n v="141.639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n v="55823"/>
    <n v="55823"/>
    <n v="7652576.5899999999"/>
    <n v="137.09"/>
    <n v="1"/>
    <n v="56.3"/>
  </r>
  <r>
    <x v="1"/>
    <n v="39578"/>
    <n v="42757"/>
    <n v="5918949.8300000001"/>
    <n v="149.55000000000001"/>
    <n v="1.08"/>
    <n v="43.55"/>
  </r>
  <r>
    <x v="2"/>
    <n v="19"/>
    <n v="86"/>
    <n v="20117.28"/>
    <n v="1058.8"/>
    <n v="4.53"/>
    <n v="0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multipleFieldFilters="0" chartFormat="1">
  <location ref="C1:D5" firstHeaderRow="1" firstDataRow="1" firstDataCol="1"/>
  <pivotFields count="7"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Revenue" fld="3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multipleFieldFilters="0" chartFormat="1">
  <location ref="A1:B76" firstHeaderRow="1" firstDataRow="1" firstDataCol="1"/>
  <pivotFields count="4">
    <pivotField axis="axisRow" compact="0" outline="0" showAll="0">
      <items count="75">
        <item x="29"/>
        <item x="33"/>
        <item x="44"/>
        <item x="66"/>
        <item x="34"/>
        <item x="8"/>
        <item x="11"/>
        <item x="2"/>
        <item x="36"/>
        <item x="59"/>
        <item x="49"/>
        <item x="71"/>
        <item x="54"/>
        <item x="56"/>
        <item x="16"/>
        <item x="4"/>
        <item x="22"/>
        <item x="24"/>
        <item x="38"/>
        <item x="39"/>
        <item x="6"/>
        <item x="43"/>
        <item x="50"/>
        <item x="67"/>
        <item x="46"/>
        <item x="58"/>
        <item x="21"/>
        <item x="63"/>
        <item x="23"/>
        <item x="72"/>
        <item x="52"/>
        <item x="45"/>
        <item x="64"/>
        <item x="53"/>
        <item x="31"/>
        <item x="69"/>
        <item x="41"/>
        <item x="51"/>
        <item x="48"/>
        <item x="5"/>
        <item x="30"/>
        <item x="61"/>
        <item x="9"/>
        <item x="0"/>
        <item x="28"/>
        <item x="26"/>
        <item x="70"/>
        <item x="32"/>
        <item x="27"/>
        <item x="7"/>
        <item x="40"/>
        <item x="37"/>
        <item x="65"/>
        <item x="25"/>
        <item x="42"/>
        <item x="57"/>
        <item x="18"/>
        <item x="14"/>
        <item x="60"/>
        <item x="68"/>
        <item x="12"/>
        <item x="17"/>
        <item x="62"/>
        <item x="73"/>
        <item x="47"/>
        <item x="19"/>
        <item x="35"/>
        <item x="3"/>
        <item x="15"/>
        <item x="55"/>
        <item x="13"/>
        <item x="10"/>
        <item x="20"/>
        <item x="1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0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Sum of TotalRevenue" fld="2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D75" totalsRowShown="0" headerRowDxfId="0">
  <autoFilter ref="A1:D75"/>
  <sortState ref="A2:D75">
    <sortCondition descending="1" ref="C1:C75"/>
  </sortState>
  <tableColumns count="4">
    <tableColumn id="1" name="ProductCategory"/>
    <tableColumn id="2" name="TotalItemsSold"/>
    <tableColumn id="3" name="TotalRevenue"/>
    <tableColumn id="4" name="AverageSellingPric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D12" sqref="D12"/>
    </sheetView>
  </sheetViews>
  <sheetFormatPr defaultRowHeight="15"/>
  <cols>
    <col min="1" max="1" width="46.28515625" bestFit="1" customWidth="1"/>
    <col min="2" max="2" width="32.42578125" bestFit="1" customWidth="1"/>
    <col min="4" max="4" width="22.7109375" bestFit="1" customWidth="1"/>
    <col min="5" max="5" width="27.140625" bestFit="1" customWidth="1"/>
  </cols>
  <sheetData>
    <row r="1" spans="1:5" ht="18.75">
      <c r="A1" s="7" t="s">
        <v>99</v>
      </c>
      <c r="B1" s="7">
        <v>13591643.699999999</v>
      </c>
      <c r="D1" s="7" t="s">
        <v>8</v>
      </c>
      <c r="E1" s="7" t="s">
        <v>12</v>
      </c>
    </row>
    <row r="2" spans="1:5" ht="18.75">
      <c r="A2" s="7" t="s">
        <v>100</v>
      </c>
      <c r="B2" s="7">
        <f>'Monthly Sales'!C27</f>
        <v>98666</v>
      </c>
      <c r="D2" t="s">
        <v>13</v>
      </c>
      <c r="E2">
        <v>56.3</v>
      </c>
    </row>
    <row r="3" spans="1:5" ht="18.75">
      <c r="A3" s="7" t="s">
        <v>101</v>
      </c>
      <c r="B3" s="7">
        <f>'Customer Analysis'!B5</f>
        <v>95420</v>
      </c>
      <c r="D3" t="s">
        <v>14</v>
      </c>
      <c r="E3">
        <v>43.55</v>
      </c>
    </row>
    <row r="4" spans="1:5" ht="18.75">
      <c r="A4" s="7" t="s">
        <v>102</v>
      </c>
      <c r="B4" s="10">
        <f>'Monthly Sales'!E27</f>
        <v>132.70833333333331</v>
      </c>
      <c r="D4" t="s">
        <v>15</v>
      </c>
      <c r="E4">
        <v>0.15</v>
      </c>
    </row>
    <row r="5" spans="1:5" ht="18.75">
      <c r="A5" s="7" t="s">
        <v>103</v>
      </c>
      <c r="B5" s="7">
        <f>(SUM('Delivery Analysis'!D2:D24)/SUM('Delivery Analysis'!C2:C24))*100</f>
        <v>8.1128985447157831</v>
      </c>
    </row>
    <row r="7" spans="1:5" ht="21">
      <c r="A7" s="6" t="s">
        <v>104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E27" sqref="E27"/>
    </sheetView>
  </sheetViews>
  <sheetFormatPr defaultRowHeight="15"/>
  <cols>
    <col min="3" max="3" width="12.5703125" bestFit="1" customWidth="1"/>
    <col min="4" max="4" width="13.85546875" bestFit="1" customWidth="1"/>
    <col min="5" max="5" width="19.7109375" bestFit="1" customWidth="1"/>
    <col min="6" max="6" width="12.7109375" bestFit="1" customWidth="1"/>
    <col min="8" max="8" width="12.7109375" bestFit="1" customWidth="1"/>
    <col min="9" max="9" width="11.42578125" bestFit="1" customWidth="1"/>
    <col min="10" max="10" width="12.7109375" bestFit="1" customWidth="1"/>
  </cols>
  <sheetData>
    <row r="1" spans="1:11" ht="15.7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/>
      <c r="J1" s="1" t="s">
        <v>5</v>
      </c>
      <c r="K1" s="1" t="s">
        <v>7</v>
      </c>
    </row>
    <row r="2" spans="1:11">
      <c r="A2">
        <v>2016</v>
      </c>
      <c r="B2">
        <v>9</v>
      </c>
      <c r="C2">
        <v>3</v>
      </c>
      <c r="D2">
        <v>267.36</v>
      </c>
      <c r="E2">
        <v>89.12</v>
      </c>
      <c r="F2" t="str">
        <f>TEXT(DATE(A2,B2,1),"mmm yyyy")</f>
        <v>Sep 2016</v>
      </c>
      <c r="G2">
        <f>D2</f>
        <v>267.36</v>
      </c>
      <c r="J2" t="str">
        <f>F2</f>
        <v>Sep 2016</v>
      </c>
      <c r="K2">
        <f>C2</f>
        <v>3</v>
      </c>
    </row>
    <row r="3" spans="1:11">
      <c r="A3">
        <v>2016</v>
      </c>
      <c r="B3">
        <v>10</v>
      </c>
      <c r="C3">
        <v>308</v>
      </c>
      <c r="D3">
        <v>49507.66</v>
      </c>
      <c r="E3">
        <v>160.74</v>
      </c>
      <c r="F3" t="str">
        <f t="shared" ref="F3:F25" si="0">TEXT(DATE(A3,B3,1),"mmm yyyy")</f>
        <v>Oct 2016</v>
      </c>
      <c r="G3">
        <f t="shared" ref="G3:G25" si="1">D3</f>
        <v>49507.66</v>
      </c>
      <c r="J3" t="str">
        <f t="shared" ref="J3:J25" si="2">F3</f>
        <v>Oct 2016</v>
      </c>
      <c r="K3">
        <f t="shared" ref="K3:K25" si="3">C3</f>
        <v>308</v>
      </c>
    </row>
    <row r="4" spans="1:11">
      <c r="A4">
        <v>2016</v>
      </c>
      <c r="B4">
        <v>12</v>
      </c>
      <c r="C4">
        <v>1</v>
      </c>
      <c r="D4">
        <v>10.9</v>
      </c>
      <c r="E4">
        <v>10.9</v>
      </c>
      <c r="F4" t="str">
        <f t="shared" si="0"/>
        <v>Dec 2016</v>
      </c>
      <c r="G4">
        <f t="shared" si="1"/>
        <v>10.9</v>
      </c>
      <c r="J4" t="str">
        <f t="shared" si="2"/>
        <v>Dec 2016</v>
      </c>
      <c r="K4">
        <f t="shared" si="3"/>
        <v>1</v>
      </c>
    </row>
    <row r="5" spans="1:11">
      <c r="A5">
        <v>2017</v>
      </c>
      <c r="B5">
        <v>1</v>
      </c>
      <c r="C5">
        <v>789</v>
      </c>
      <c r="D5">
        <v>120312.87</v>
      </c>
      <c r="E5">
        <v>152.49</v>
      </c>
      <c r="F5" t="str">
        <f t="shared" si="0"/>
        <v>Jan 2017</v>
      </c>
      <c r="G5">
        <f t="shared" si="1"/>
        <v>120312.87</v>
      </c>
      <c r="J5" t="str">
        <f t="shared" si="2"/>
        <v>Jan 2017</v>
      </c>
      <c r="K5">
        <f t="shared" si="3"/>
        <v>789</v>
      </c>
    </row>
    <row r="6" spans="1:11">
      <c r="A6">
        <v>2017</v>
      </c>
      <c r="B6">
        <v>2</v>
      </c>
      <c r="C6">
        <v>1733</v>
      </c>
      <c r="D6">
        <v>247303.02</v>
      </c>
      <c r="E6">
        <v>142.69999999999999</v>
      </c>
      <c r="F6" t="str">
        <f t="shared" si="0"/>
        <v>Feb 2017</v>
      </c>
      <c r="G6">
        <f t="shared" si="1"/>
        <v>247303.02</v>
      </c>
      <c r="J6" t="str">
        <f t="shared" si="2"/>
        <v>Feb 2017</v>
      </c>
      <c r="K6">
        <f t="shared" si="3"/>
        <v>1733</v>
      </c>
    </row>
    <row r="7" spans="1:11">
      <c r="A7">
        <v>2017</v>
      </c>
      <c r="B7">
        <v>3</v>
      </c>
      <c r="C7">
        <v>2641</v>
      </c>
      <c r="D7">
        <v>374344.3</v>
      </c>
      <c r="E7">
        <v>141.74</v>
      </c>
      <c r="F7" t="str">
        <f t="shared" si="0"/>
        <v>Mar 2017</v>
      </c>
      <c r="G7">
        <f t="shared" si="1"/>
        <v>374344.3</v>
      </c>
      <c r="J7" t="str">
        <f t="shared" si="2"/>
        <v>Mar 2017</v>
      </c>
      <c r="K7">
        <f t="shared" si="3"/>
        <v>2641</v>
      </c>
    </row>
    <row r="8" spans="1:11">
      <c r="A8">
        <v>2017</v>
      </c>
      <c r="B8">
        <v>4</v>
      </c>
      <c r="C8">
        <v>2391</v>
      </c>
      <c r="D8">
        <v>359927.23</v>
      </c>
      <c r="E8">
        <v>150.53</v>
      </c>
      <c r="F8" t="str">
        <f t="shared" si="0"/>
        <v>Apr 2017</v>
      </c>
      <c r="G8">
        <f t="shared" si="1"/>
        <v>359927.23</v>
      </c>
      <c r="J8" t="str">
        <f t="shared" si="2"/>
        <v>Apr 2017</v>
      </c>
      <c r="K8">
        <f t="shared" si="3"/>
        <v>2391</v>
      </c>
    </row>
    <row r="9" spans="1:11">
      <c r="A9">
        <v>2017</v>
      </c>
      <c r="B9">
        <v>5</v>
      </c>
      <c r="C9">
        <v>3660</v>
      </c>
      <c r="D9">
        <v>506071.14</v>
      </c>
      <c r="E9">
        <v>138.27000000000001</v>
      </c>
      <c r="F9" t="str">
        <f t="shared" si="0"/>
        <v>May 2017</v>
      </c>
      <c r="G9">
        <f t="shared" si="1"/>
        <v>506071.14</v>
      </c>
      <c r="J9" t="str">
        <f t="shared" si="2"/>
        <v>May 2017</v>
      </c>
      <c r="K9">
        <f t="shared" si="3"/>
        <v>3660</v>
      </c>
    </row>
    <row r="10" spans="1:11">
      <c r="A10">
        <v>2017</v>
      </c>
      <c r="B10">
        <v>6</v>
      </c>
      <c r="C10">
        <v>3217</v>
      </c>
      <c r="D10">
        <v>433038.6</v>
      </c>
      <c r="E10">
        <v>134.61000000000001</v>
      </c>
      <c r="F10" t="str">
        <f t="shared" si="0"/>
        <v>Jun 2017</v>
      </c>
      <c r="G10">
        <f t="shared" si="1"/>
        <v>433038.6</v>
      </c>
      <c r="J10" t="str">
        <f t="shared" si="2"/>
        <v>Jun 2017</v>
      </c>
      <c r="K10">
        <f t="shared" si="3"/>
        <v>3217</v>
      </c>
    </row>
    <row r="11" spans="1:11">
      <c r="A11">
        <v>2017</v>
      </c>
      <c r="B11">
        <v>7</v>
      </c>
      <c r="C11">
        <v>3969</v>
      </c>
      <c r="D11">
        <v>498031.48</v>
      </c>
      <c r="E11">
        <v>125.48</v>
      </c>
      <c r="F11" t="str">
        <f t="shared" si="0"/>
        <v>Jul 2017</v>
      </c>
      <c r="G11">
        <f t="shared" si="1"/>
        <v>498031.48</v>
      </c>
      <c r="J11" t="str">
        <f t="shared" si="2"/>
        <v>Jul 2017</v>
      </c>
      <c r="K11">
        <f t="shared" si="3"/>
        <v>3969</v>
      </c>
    </row>
    <row r="12" spans="1:11">
      <c r="A12">
        <v>2017</v>
      </c>
      <c r="B12">
        <v>8</v>
      </c>
      <c r="C12">
        <v>4293</v>
      </c>
      <c r="D12">
        <v>573971.68000000005</v>
      </c>
      <c r="E12">
        <v>133.69999999999999</v>
      </c>
      <c r="F12" t="str">
        <f t="shared" si="0"/>
        <v>Aug 2017</v>
      </c>
      <c r="G12">
        <f t="shared" si="1"/>
        <v>573971.68000000005</v>
      </c>
      <c r="J12" t="str">
        <f t="shared" si="2"/>
        <v>Aug 2017</v>
      </c>
      <c r="K12">
        <f t="shared" si="3"/>
        <v>4293</v>
      </c>
    </row>
    <row r="13" spans="1:11">
      <c r="A13">
        <v>2017</v>
      </c>
      <c r="B13">
        <v>9</v>
      </c>
      <c r="C13">
        <v>4243</v>
      </c>
      <c r="D13">
        <v>624401.68999999994</v>
      </c>
      <c r="E13">
        <v>147.16</v>
      </c>
      <c r="F13" t="str">
        <f t="shared" si="0"/>
        <v>Sep 2017</v>
      </c>
      <c r="G13">
        <f t="shared" si="1"/>
        <v>624401.68999999994</v>
      </c>
      <c r="J13" t="str">
        <f t="shared" si="2"/>
        <v>Sep 2017</v>
      </c>
      <c r="K13">
        <f t="shared" si="3"/>
        <v>4243</v>
      </c>
    </row>
    <row r="14" spans="1:11">
      <c r="A14">
        <v>2017</v>
      </c>
      <c r="B14">
        <v>10</v>
      </c>
      <c r="C14">
        <v>4568</v>
      </c>
      <c r="D14">
        <v>664219.43000000005</v>
      </c>
      <c r="E14">
        <v>145.41</v>
      </c>
      <c r="F14" t="str">
        <f t="shared" si="0"/>
        <v>Oct 2017</v>
      </c>
      <c r="G14">
        <f t="shared" si="1"/>
        <v>664219.43000000005</v>
      </c>
      <c r="J14" t="str">
        <f t="shared" si="2"/>
        <v>Oct 2017</v>
      </c>
      <c r="K14">
        <f t="shared" si="3"/>
        <v>4568</v>
      </c>
    </row>
    <row r="15" spans="1:11">
      <c r="A15">
        <v>2017</v>
      </c>
      <c r="B15">
        <v>11</v>
      </c>
      <c r="C15">
        <v>7451</v>
      </c>
      <c r="D15">
        <v>1010271.37</v>
      </c>
      <c r="E15">
        <v>135.59</v>
      </c>
      <c r="F15" t="str">
        <f t="shared" si="0"/>
        <v>Nov 2017</v>
      </c>
      <c r="G15">
        <f t="shared" si="1"/>
        <v>1010271.37</v>
      </c>
      <c r="J15" t="str">
        <f t="shared" si="2"/>
        <v>Nov 2017</v>
      </c>
      <c r="K15">
        <f t="shared" si="3"/>
        <v>7451</v>
      </c>
    </row>
    <row r="16" spans="1:11">
      <c r="A16">
        <v>2017</v>
      </c>
      <c r="B16">
        <v>12</v>
      </c>
      <c r="C16">
        <v>5624</v>
      </c>
      <c r="D16">
        <v>743914.17</v>
      </c>
      <c r="E16">
        <v>132.27000000000001</v>
      </c>
      <c r="F16" t="str">
        <f t="shared" si="0"/>
        <v>Dec 2017</v>
      </c>
      <c r="G16">
        <f t="shared" si="1"/>
        <v>743914.17</v>
      </c>
      <c r="J16" t="str">
        <f t="shared" si="2"/>
        <v>Dec 2017</v>
      </c>
      <c r="K16">
        <f t="shared" si="3"/>
        <v>5624</v>
      </c>
    </row>
    <row r="17" spans="1:11">
      <c r="A17">
        <v>2018</v>
      </c>
      <c r="B17">
        <v>1</v>
      </c>
      <c r="C17">
        <v>7220</v>
      </c>
      <c r="D17">
        <v>950030.36</v>
      </c>
      <c r="E17">
        <v>131.58000000000001</v>
      </c>
      <c r="F17" t="str">
        <f t="shared" si="0"/>
        <v>Jan 2018</v>
      </c>
      <c r="G17">
        <f t="shared" si="1"/>
        <v>950030.36</v>
      </c>
      <c r="J17" t="str">
        <f t="shared" si="2"/>
        <v>Jan 2018</v>
      </c>
      <c r="K17">
        <f t="shared" si="3"/>
        <v>7220</v>
      </c>
    </row>
    <row r="18" spans="1:11">
      <c r="A18">
        <v>2018</v>
      </c>
      <c r="B18">
        <v>2</v>
      </c>
      <c r="C18">
        <v>6694</v>
      </c>
      <c r="D18">
        <v>844178.71</v>
      </c>
      <c r="E18">
        <v>126.11</v>
      </c>
      <c r="F18" t="str">
        <f t="shared" si="0"/>
        <v>Feb 2018</v>
      </c>
      <c r="G18">
        <f t="shared" si="1"/>
        <v>844178.71</v>
      </c>
      <c r="J18" t="str">
        <f t="shared" si="2"/>
        <v>Feb 2018</v>
      </c>
      <c r="K18">
        <f t="shared" si="3"/>
        <v>6694</v>
      </c>
    </row>
    <row r="19" spans="1:11">
      <c r="A19">
        <v>2018</v>
      </c>
      <c r="B19">
        <v>3</v>
      </c>
      <c r="C19">
        <v>7188</v>
      </c>
      <c r="D19">
        <v>983213.44</v>
      </c>
      <c r="E19">
        <v>136.79</v>
      </c>
      <c r="F19" t="str">
        <f t="shared" si="0"/>
        <v>Mar 2018</v>
      </c>
      <c r="G19">
        <f t="shared" si="1"/>
        <v>983213.44</v>
      </c>
      <c r="J19" t="str">
        <f t="shared" si="2"/>
        <v>Mar 2018</v>
      </c>
      <c r="K19">
        <f t="shared" si="3"/>
        <v>7188</v>
      </c>
    </row>
    <row r="20" spans="1:11">
      <c r="A20">
        <v>2018</v>
      </c>
      <c r="B20">
        <v>4</v>
      </c>
      <c r="C20">
        <v>6934</v>
      </c>
      <c r="D20">
        <v>996647.75</v>
      </c>
      <c r="E20">
        <v>143.72999999999999</v>
      </c>
      <c r="F20" t="str">
        <f t="shared" si="0"/>
        <v>Apr 2018</v>
      </c>
      <c r="G20">
        <f t="shared" si="1"/>
        <v>996647.75</v>
      </c>
      <c r="J20" t="str">
        <f t="shared" si="2"/>
        <v>Apr 2018</v>
      </c>
      <c r="K20">
        <f t="shared" si="3"/>
        <v>6934</v>
      </c>
    </row>
    <row r="21" spans="1:11">
      <c r="A21">
        <v>2018</v>
      </c>
      <c r="B21">
        <v>5</v>
      </c>
      <c r="C21">
        <v>6853</v>
      </c>
      <c r="D21">
        <v>996517.68</v>
      </c>
      <c r="E21">
        <v>145.41</v>
      </c>
      <c r="F21" t="str">
        <f t="shared" si="0"/>
        <v>May 2018</v>
      </c>
      <c r="G21">
        <f t="shared" si="1"/>
        <v>996517.68</v>
      </c>
      <c r="J21" t="str">
        <f t="shared" si="2"/>
        <v>May 2018</v>
      </c>
      <c r="K21">
        <f t="shared" si="3"/>
        <v>6853</v>
      </c>
    </row>
    <row r="22" spans="1:11">
      <c r="A22">
        <v>2018</v>
      </c>
      <c r="B22">
        <v>6</v>
      </c>
      <c r="C22">
        <v>6160</v>
      </c>
      <c r="D22">
        <v>865124.31</v>
      </c>
      <c r="E22">
        <v>140.44</v>
      </c>
      <c r="F22" t="str">
        <f t="shared" si="0"/>
        <v>Jun 2018</v>
      </c>
      <c r="G22">
        <f t="shared" si="1"/>
        <v>865124.31</v>
      </c>
      <c r="J22" t="str">
        <f t="shared" si="2"/>
        <v>Jun 2018</v>
      </c>
      <c r="K22">
        <f t="shared" si="3"/>
        <v>6160</v>
      </c>
    </row>
    <row r="23" spans="1:11">
      <c r="A23">
        <v>2018</v>
      </c>
      <c r="B23">
        <v>7</v>
      </c>
      <c r="C23">
        <v>6273</v>
      </c>
      <c r="D23">
        <v>895507.22</v>
      </c>
      <c r="E23">
        <v>142.76</v>
      </c>
      <c r="F23" t="str">
        <f t="shared" si="0"/>
        <v>Jul 2018</v>
      </c>
      <c r="G23">
        <f t="shared" si="1"/>
        <v>895507.22</v>
      </c>
      <c r="J23" t="str">
        <f t="shared" si="2"/>
        <v>Jul 2018</v>
      </c>
      <c r="K23">
        <f t="shared" si="3"/>
        <v>6273</v>
      </c>
    </row>
    <row r="24" spans="1:11">
      <c r="A24">
        <v>2018</v>
      </c>
      <c r="B24">
        <v>8</v>
      </c>
      <c r="C24">
        <v>6452</v>
      </c>
      <c r="D24">
        <v>854686.33</v>
      </c>
      <c r="E24">
        <v>132.47</v>
      </c>
      <c r="F24" t="str">
        <f t="shared" si="0"/>
        <v>Aug 2018</v>
      </c>
      <c r="G24">
        <f t="shared" si="1"/>
        <v>854686.33</v>
      </c>
      <c r="J24" t="str">
        <f t="shared" si="2"/>
        <v>Aug 2018</v>
      </c>
      <c r="K24">
        <f t="shared" si="3"/>
        <v>6452</v>
      </c>
    </row>
    <row r="25" spans="1:11">
      <c r="A25">
        <v>2018</v>
      </c>
      <c r="B25">
        <v>9</v>
      </c>
      <c r="C25">
        <v>1</v>
      </c>
      <c r="D25">
        <v>145</v>
      </c>
      <c r="E25">
        <v>145</v>
      </c>
      <c r="F25" t="str">
        <f t="shared" si="0"/>
        <v>Sep 2018</v>
      </c>
      <c r="G25">
        <f t="shared" si="1"/>
        <v>145</v>
      </c>
      <c r="J25" t="str">
        <f t="shared" si="2"/>
        <v>Sep 2018</v>
      </c>
      <c r="K25">
        <f t="shared" si="3"/>
        <v>1</v>
      </c>
    </row>
    <row r="27" spans="1:11">
      <c r="C27">
        <f>SUM(C2:C25)</f>
        <v>98666</v>
      </c>
      <c r="E27" s="8">
        <f>AVERAGE(E2:E25)</f>
        <v>132.70833333333331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6" sqref="B6"/>
    </sheetView>
  </sheetViews>
  <sheetFormatPr defaultRowHeight="15"/>
  <cols>
    <col min="1" max="1" width="19.140625" bestFit="1" customWidth="1"/>
    <col min="2" max="2" width="16.28515625" bestFit="1" customWidth="1"/>
    <col min="3" max="3" width="12.5703125" bestFit="1" customWidth="1"/>
    <col min="4" max="4" width="14.5703125" bestFit="1" customWidth="1"/>
    <col min="5" max="5" width="30.7109375" bestFit="1" customWidth="1"/>
    <col min="6" max="6" width="28.7109375" bestFit="1" customWidth="1"/>
    <col min="7" max="7" width="23" bestFit="1" customWidth="1"/>
  </cols>
  <sheetData>
    <row r="1" spans="1:7" ht="15.75">
      <c r="A1" s="1" t="s">
        <v>8</v>
      </c>
      <c r="B1" s="1" t="s">
        <v>9</v>
      </c>
      <c r="C1" s="1" t="s">
        <v>3</v>
      </c>
      <c r="D1" s="1" t="s">
        <v>4</v>
      </c>
      <c r="E1" s="1" t="s">
        <v>10</v>
      </c>
      <c r="F1" s="1" t="s">
        <v>11</v>
      </c>
      <c r="G1" s="1" t="s">
        <v>12</v>
      </c>
    </row>
    <row r="2" spans="1:7">
      <c r="A2" t="s">
        <v>13</v>
      </c>
      <c r="B2">
        <v>55823</v>
      </c>
      <c r="C2">
        <v>55823</v>
      </c>
      <c r="D2">
        <v>7652576.5899999999</v>
      </c>
      <c r="E2">
        <v>137.09</v>
      </c>
      <c r="F2">
        <v>1</v>
      </c>
      <c r="G2">
        <v>56.3</v>
      </c>
    </row>
    <row r="3" spans="1:7">
      <c r="A3" t="s">
        <v>14</v>
      </c>
      <c r="B3">
        <v>39578</v>
      </c>
      <c r="C3">
        <v>42757</v>
      </c>
      <c r="D3">
        <v>5918949.8300000001</v>
      </c>
      <c r="E3">
        <v>149.55000000000001</v>
      </c>
      <c r="F3">
        <v>1.08</v>
      </c>
      <c r="G3">
        <v>43.55</v>
      </c>
    </row>
    <row r="4" spans="1:7">
      <c r="A4" t="s">
        <v>15</v>
      </c>
      <c r="B4">
        <v>19</v>
      </c>
      <c r="C4">
        <v>86</v>
      </c>
      <c r="D4">
        <v>20117.28</v>
      </c>
      <c r="E4">
        <v>1058.8</v>
      </c>
      <c r="F4">
        <v>4.53</v>
      </c>
      <c r="G4">
        <v>0.15</v>
      </c>
    </row>
    <row r="5" spans="1:7">
      <c r="B5">
        <f>SUM(B2:B4)</f>
        <v>95420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5"/>
  <sheetViews>
    <sheetView workbookViewId="0">
      <selection activeCell="D10" sqref="D10"/>
    </sheetView>
  </sheetViews>
  <sheetFormatPr defaultRowHeight="15"/>
  <cols>
    <col min="1" max="1" width="46" bestFit="1" customWidth="1"/>
    <col min="2" max="2" width="17.7109375" customWidth="1"/>
    <col min="3" max="3" width="16.5703125" customWidth="1"/>
    <col min="4" max="4" width="22.42578125" customWidth="1"/>
  </cols>
  <sheetData>
    <row r="1" spans="1:4" ht="15.75">
      <c r="A1" s="1" t="s">
        <v>16</v>
      </c>
      <c r="B1" s="1" t="s">
        <v>17</v>
      </c>
      <c r="C1" s="1" t="s">
        <v>4</v>
      </c>
      <c r="D1" s="1" t="s">
        <v>18</v>
      </c>
    </row>
    <row r="2" spans="1:4">
      <c r="A2" t="s">
        <v>19</v>
      </c>
      <c r="B2">
        <v>9670</v>
      </c>
      <c r="C2">
        <v>1258681.3400000001</v>
      </c>
      <c r="D2">
        <v>130.16</v>
      </c>
    </row>
    <row r="3" spans="1:4">
      <c r="A3" t="s">
        <v>20</v>
      </c>
      <c r="B3">
        <v>5991</v>
      </c>
      <c r="C3">
        <v>1205005.68</v>
      </c>
      <c r="D3">
        <v>201.14</v>
      </c>
    </row>
    <row r="4" spans="1:4">
      <c r="A4" t="s">
        <v>21</v>
      </c>
      <c r="B4">
        <v>11115</v>
      </c>
      <c r="C4">
        <v>1036988.68</v>
      </c>
      <c r="D4">
        <v>93.3</v>
      </c>
    </row>
    <row r="5" spans="1:4" ht="15.75">
      <c r="A5" s="2" t="s">
        <v>22</v>
      </c>
      <c r="B5">
        <v>8641</v>
      </c>
      <c r="C5">
        <v>988048.97</v>
      </c>
      <c r="D5">
        <v>114.34</v>
      </c>
    </row>
    <row r="6" spans="1:4">
      <c r="A6" t="s">
        <v>23</v>
      </c>
      <c r="B6">
        <v>7827</v>
      </c>
      <c r="C6">
        <v>911954.32</v>
      </c>
      <c r="D6">
        <v>116.51</v>
      </c>
    </row>
    <row r="7" spans="1:4">
      <c r="A7" t="s">
        <v>24</v>
      </c>
      <c r="B7">
        <v>8334</v>
      </c>
      <c r="C7">
        <v>729762.49</v>
      </c>
      <c r="D7">
        <v>87.56</v>
      </c>
    </row>
    <row r="8" spans="1:4">
      <c r="A8" t="s">
        <v>25</v>
      </c>
      <c r="B8">
        <v>3796</v>
      </c>
      <c r="C8">
        <v>635290.85</v>
      </c>
      <c r="D8">
        <v>167.36</v>
      </c>
    </row>
    <row r="9" spans="1:4">
      <c r="A9" t="s">
        <v>26</v>
      </c>
      <c r="B9">
        <v>6964</v>
      </c>
      <c r="C9">
        <v>632248.66</v>
      </c>
      <c r="D9">
        <v>90.79</v>
      </c>
    </row>
    <row r="10" spans="1:4">
      <c r="A10" t="s">
        <v>27</v>
      </c>
      <c r="B10">
        <v>4235</v>
      </c>
      <c r="C10">
        <v>592720.11</v>
      </c>
      <c r="D10">
        <v>139.96</v>
      </c>
    </row>
    <row r="11" spans="1:4">
      <c r="A11" t="s">
        <v>28</v>
      </c>
      <c r="B11">
        <v>4347</v>
      </c>
      <c r="C11">
        <v>485256.46</v>
      </c>
      <c r="D11">
        <v>111.63</v>
      </c>
    </row>
    <row r="12" spans="1:4">
      <c r="A12" t="s">
        <v>29</v>
      </c>
      <c r="B12">
        <v>4117</v>
      </c>
      <c r="C12">
        <v>483946.6</v>
      </c>
      <c r="D12">
        <v>117.55</v>
      </c>
    </row>
    <row r="13" spans="1:4">
      <c r="A13" t="s">
        <v>30</v>
      </c>
      <c r="B13">
        <v>3065</v>
      </c>
      <c r="C13">
        <v>411764.89</v>
      </c>
      <c r="D13">
        <v>134.34</v>
      </c>
    </row>
    <row r="14" spans="1:4">
      <c r="A14" t="s">
        <v>31</v>
      </c>
      <c r="B14">
        <v>3419</v>
      </c>
      <c r="C14">
        <v>399124.87</v>
      </c>
      <c r="D14">
        <v>116.74</v>
      </c>
    </row>
    <row r="15" spans="1:4">
      <c r="A15" t="s">
        <v>32</v>
      </c>
      <c r="B15">
        <v>4545</v>
      </c>
      <c r="C15">
        <v>323667.53000000003</v>
      </c>
      <c r="D15">
        <v>71.209999999999994</v>
      </c>
    </row>
    <row r="16" spans="1:4">
      <c r="A16" t="s">
        <v>33</v>
      </c>
      <c r="B16">
        <v>1691</v>
      </c>
      <c r="C16">
        <v>273960.7</v>
      </c>
      <c r="D16">
        <v>162.01</v>
      </c>
    </row>
    <row r="17" spans="1:4">
      <c r="A17" t="s">
        <v>34</v>
      </c>
      <c r="B17">
        <v>2517</v>
      </c>
      <c r="C17">
        <v>230943.23</v>
      </c>
      <c r="D17">
        <v>91.75</v>
      </c>
    </row>
    <row r="18" spans="1:4">
      <c r="A18" t="s">
        <v>35</v>
      </c>
      <c r="B18">
        <v>203</v>
      </c>
      <c r="C18">
        <v>222963.13</v>
      </c>
      <c r="D18">
        <v>1098.3399999999999</v>
      </c>
    </row>
    <row r="19" spans="1:4">
      <c r="A19" t="s">
        <v>36</v>
      </c>
      <c r="B19">
        <v>1947</v>
      </c>
      <c r="C19">
        <v>214315.41</v>
      </c>
      <c r="D19">
        <v>110.07</v>
      </c>
    </row>
    <row r="20" spans="1:4">
      <c r="A20" t="s">
        <v>37</v>
      </c>
      <c r="B20">
        <v>680</v>
      </c>
      <c r="C20">
        <v>191498.88</v>
      </c>
      <c r="D20">
        <v>281.62</v>
      </c>
    </row>
    <row r="21" spans="1:4">
      <c r="A21" t="s">
        <v>38</v>
      </c>
      <c r="B21">
        <v>679</v>
      </c>
      <c r="C21">
        <v>190648.58</v>
      </c>
      <c r="D21">
        <v>280.77999999999997</v>
      </c>
    </row>
    <row r="22" spans="1:4">
      <c r="A22" t="s">
        <v>39</v>
      </c>
      <c r="B22">
        <v>1603</v>
      </c>
      <c r="C22">
        <v>179535.28</v>
      </c>
      <c r="D22">
        <v>112</v>
      </c>
    </row>
    <row r="23" spans="1:4">
      <c r="A23" t="s">
        <v>40</v>
      </c>
      <c r="B23">
        <v>2767</v>
      </c>
      <c r="C23">
        <v>160246.74</v>
      </c>
      <c r="D23">
        <v>57.91</v>
      </c>
    </row>
    <row r="24" spans="1:4">
      <c r="A24" t="s">
        <v>41</v>
      </c>
      <c r="B24">
        <v>1137</v>
      </c>
      <c r="C24">
        <v>157465.22</v>
      </c>
      <c r="D24">
        <v>138.49</v>
      </c>
    </row>
    <row r="25" spans="1:4">
      <c r="A25" t="s">
        <v>42</v>
      </c>
      <c r="B25">
        <v>2031</v>
      </c>
      <c r="C25">
        <v>152823.54</v>
      </c>
      <c r="D25">
        <v>75.25</v>
      </c>
    </row>
    <row r="26" spans="1:4">
      <c r="A26" t="s">
        <v>43</v>
      </c>
      <c r="B26">
        <v>929</v>
      </c>
      <c r="C26">
        <v>144677.59</v>
      </c>
      <c r="D26">
        <v>155.72999999999999</v>
      </c>
    </row>
    <row r="27" spans="1:4">
      <c r="A27" t="s">
        <v>44</v>
      </c>
      <c r="B27">
        <v>1092</v>
      </c>
      <c r="C27">
        <v>140429.98000000001</v>
      </c>
      <c r="D27">
        <v>128.6</v>
      </c>
    </row>
    <row r="28" spans="1:4">
      <c r="A28" t="s">
        <v>45</v>
      </c>
      <c r="B28">
        <v>238</v>
      </c>
      <c r="C28">
        <v>113317.74</v>
      </c>
      <c r="D28">
        <v>476.12</v>
      </c>
    </row>
    <row r="29" spans="1:4">
      <c r="A29" t="s">
        <v>46</v>
      </c>
      <c r="B29">
        <v>604</v>
      </c>
      <c r="C29">
        <v>83088.12</v>
      </c>
      <c r="D29">
        <v>137.56</v>
      </c>
    </row>
    <row r="30" spans="1:4">
      <c r="A30" t="s">
        <v>47</v>
      </c>
      <c r="B30">
        <v>771</v>
      </c>
      <c r="C30">
        <v>80171.53</v>
      </c>
      <c r="D30">
        <v>103.98</v>
      </c>
    </row>
    <row r="31" spans="1:4">
      <c r="A31" t="s">
        <v>48</v>
      </c>
      <c r="B31">
        <v>212</v>
      </c>
      <c r="C31">
        <v>72530.47</v>
      </c>
      <c r="D31">
        <v>342.12</v>
      </c>
    </row>
    <row r="32" spans="1:4">
      <c r="A32" t="s">
        <v>49</v>
      </c>
      <c r="B32">
        <v>503</v>
      </c>
      <c r="C32">
        <v>68916.56</v>
      </c>
      <c r="D32">
        <v>137.01</v>
      </c>
    </row>
    <row r="33" spans="1:4">
      <c r="A33" t="s">
        <v>50</v>
      </c>
      <c r="B33">
        <v>264</v>
      </c>
      <c r="C33">
        <v>59583</v>
      </c>
      <c r="D33">
        <v>225.69</v>
      </c>
    </row>
    <row r="34" spans="1:4">
      <c r="A34" t="s">
        <v>51</v>
      </c>
      <c r="B34">
        <v>434</v>
      </c>
      <c r="C34">
        <v>58572.04</v>
      </c>
      <c r="D34">
        <v>134.96</v>
      </c>
    </row>
    <row r="35" spans="1:4">
      <c r="A35" t="s">
        <v>52</v>
      </c>
      <c r="B35">
        <v>297</v>
      </c>
      <c r="C35">
        <v>55024.959999999999</v>
      </c>
      <c r="D35">
        <v>185.27</v>
      </c>
    </row>
    <row r="36" spans="1:4">
      <c r="A36" t="s">
        <v>53</v>
      </c>
      <c r="B36">
        <v>364</v>
      </c>
      <c r="C36">
        <v>50688.5</v>
      </c>
      <c r="D36">
        <v>139.25</v>
      </c>
    </row>
    <row r="37" spans="1:4">
      <c r="A37" t="s">
        <v>54</v>
      </c>
      <c r="B37">
        <v>76</v>
      </c>
      <c r="C37">
        <v>47445.71</v>
      </c>
      <c r="D37">
        <v>624.29</v>
      </c>
    </row>
    <row r="38" spans="1:4">
      <c r="A38" t="s">
        <v>55</v>
      </c>
      <c r="B38">
        <v>553</v>
      </c>
      <c r="C38">
        <v>46856.88</v>
      </c>
      <c r="D38">
        <v>84.73</v>
      </c>
    </row>
    <row r="39" spans="1:4">
      <c r="A39" t="s">
        <v>56</v>
      </c>
      <c r="B39">
        <v>281</v>
      </c>
      <c r="C39">
        <v>46328.37</v>
      </c>
      <c r="D39">
        <v>164.87</v>
      </c>
    </row>
    <row r="40" spans="1:4">
      <c r="A40" t="s">
        <v>57</v>
      </c>
      <c r="B40">
        <v>304</v>
      </c>
      <c r="C40">
        <v>41080</v>
      </c>
      <c r="D40">
        <v>135.13</v>
      </c>
    </row>
    <row r="41" spans="1:4">
      <c r="A41" t="s">
        <v>58</v>
      </c>
      <c r="B41">
        <v>194</v>
      </c>
      <c r="C41">
        <v>40544.519999999997</v>
      </c>
      <c r="D41">
        <v>208.99</v>
      </c>
    </row>
    <row r="42" spans="1:4">
      <c r="A42" t="s">
        <v>59</v>
      </c>
      <c r="B42">
        <v>268</v>
      </c>
      <c r="C42">
        <v>39669.61</v>
      </c>
      <c r="D42">
        <v>148.02000000000001</v>
      </c>
    </row>
    <row r="43" spans="1:4">
      <c r="A43" t="s">
        <v>60</v>
      </c>
      <c r="B43">
        <v>510</v>
      </c>
      <c r="C43">
        <v>29393.41</v>
      </c>
      <c r="D43">
        <v>57.63</v>
      </c>
    </row>
    <row r="44" spans="1:4">
      <c r="A44" t="s">
        <v>61</v>
      </c>
      <c r="B44">
        <v>311</v>
      </c>
      <c r="C44">
        <v>28378.47</v>
      </c>
      <c r="D44">
        <v>91.25</v>
      </c>
    </row>
    <row r="45" spans="1:4">
      <c r="A45" t="s">
        <v>62</v>
      </c>
      <c r="B45">
        <v>238</v>
      </c>
      <c r="C45">
        <v>25715.89</v>
      </c>
      <c r="D45">
        <v>108.05</v>
      </c>
    </row>
    <row r="46" spans="1:4">
      <c r="A46" t="s">
        <v>63</v>
      </c>
      <c r="B46">
        <v>209</v>
      </c>
      <c r="C46">
        <v>24202.639999999999</v>
      </c>
      <c r="D46">
        <v>115.8</v>
      </c>
    </row>
    <row r="47" spans="1:4">
      <c r="A47" t="s">
        <v>64</v>
      </c>
      <c r="B47">
        <v>262</v>
      </c>
      <c r="C47">
        <v>23562.77</v>
      </c>
      <c r="D47">
        <v>89.93</v>
      </c>
    </row>
    <row r="48" spans="1:4">
      <c r="A48" t="s">
        <v>65</v>
      </c>
      <c r="B48">
        <v>379</v>
      </c>
      <c r="C48">
        <v>22428.7</v>
      </c>
      <c r="D48">
        <v>59.18</v>
      </c>
    </row>
    <row r="49" spans="1:4">
      <c r="A49" t="s">
        <v>66</v>
      </c>
      <c r="B49">
        <v>199</v>
      </c>
      <c r="C49">
        <v>21509.23</v>
      </c>
      <c r="D49">
        <v>108.09</v>
      </c>
    </row>
    <row r="50" spans="1:4">
      <c r="A50" t="s">
        <v>67</v>
      </c>
      <c r="B50">
        <v>109</v>
      </c>
      <c r="C50">
        <v>20028.78</v>
      </c>
      <c r="D50">
        <v>183.75</v>
      </c>
    </row>
    <row r="51" spans="1:4">
      <c r="A51" t="s">
        <v>68</v>
      </c>
      <c r="B51">
        <v>267</v>
      </c>
      <c r="C51">
        <v>19096.060000000001</v>
      </c>
      <c r="D51">
        <v>71.52</v>
      </c>
    </row>
    <row r="52" spans="1:4">
      <c r="A52" t="s">
        <v>69</v>
      </c>
      <c r="B52">
        <v>103</v>
      </c>
      <c r="C52">
        <v>15903.95</v>
      </c>
      <c r="D52">
        <v>154.41</v>
      </c>
    </row>
    <row r="53" spans="1:4">
      <c r="A53" t="s">
        <v>70</v>
      </c>
      <c r="B53">
        <v>278</v>
      </c>
      <c r="C53">
        <v>15179.48</v>
      </c>
      <c r="D53">
        <v>54.6</v>
      </c>
    </row>
    <row r="54" spans="1:4">
      <c r="A54" t="s">
        <v>71</v>
      </c>
      <c r="B54">
        <v>132</v>
      </c>
      <c r="C54">
        <v>10797.82</v>
      </c>
      <c r="D54">
        <v>81.8</v>
      </c>
    </row>
    <row r="55" spans="1:4">
      <c r="A55" t="s">
        <v>72</v>
      </c>
      <c r="B55">
        <v>131</v>
      </c>
      <c r="C55">
        <v>9541.5499999999993</v>
      </c>
      <c r="D55">
        <v>72.84</v>
      </c>
    </row>
    <row r="56" spans="1:4">
      <c r="A56" t="s">
        <v>73</v>
      </c>
      <c r="B56">
        <v>153</v>
      </c>
      <c r="C56">
        <v>8800.82</v>
      </c>
      <c r="D56">
        <v>57.52</v>
      </c>
    </row>
    <row r="57" spans="1:4">
      <c r="A57" t="s">
        <v>74</v>
      </c>
      <c r="B57">
        <v>83</v>
      </c>
      <c r="C57">
        <v>7528.41</v>
      </c>
      <c r="D57">
        <v>90.7</v>
      </c>
    </row>
    <row r="58" spans="1:4">
      <c r="A58" t="s">
        <v>75</v>
      </c>
      <c r="B58">
        <v>72</v>
      </c>
      <c r="C58">
        <v>6933.46</v>
      </c>
      <c r="D58">
        <v>96.3</v>
      </c>
    </row>
    <row r="59" spans="1:4">
      <c r="A59" t="s">
        <v>76</v>
      </c>
      <c r="B59">
        <v>38</v>
      </c>
      <c r="C59">
        <v>6034.35</v>
      </c>
      <c r="D59">
        <v>158.80000000000001</v>
      </c>
    </row>
    <row r="60" spans="1:4">
      <c r="A60" t="s">
        <v>77</v>
      </c>
      <c r="B60">
        <v>64</v>
      </c>
      <c r="C60">
        <v>5999.39</v>
      </c>
      <c r="D60">
        <v>93.74</v>
      </c>
    </row>
    <row r="61" spans="1:4">
      <c r="A61" t="s">
        <v>78</v>
      </c>
      <c r="B61">
        <v>60</v>
      </c>
      <c r="C61">
        <v>4639.8500000000004</v>
      </c>
      <c r="D61">
        <v>77.33</v>
      </c>
    </row>
    <row r="62" spans="1:4">
      <c r="A62" t="s">
        <v>79</v>
      </c>
      <c r="B62">
        <v>43</v>
      </c>
      <c r="C62">
        <v>4485.18</v>
      </c>
      <c r="D62">
        <v>104.31</v>
      </c>
    </row>
    <row r="63" spans="1:4">
      <c r="A63" t="s">
        <v>80</v>
      </c>
      <c r="B63">
        <v>38</v>
      </c>
      <c r="C63">
        <v>4368.08</v>
      </c>
      <c r="D63">
        <v>114.95</v>
      </c>
    </row>
    <row r="64" spans="1:4">
      <c r="A64" t="s">
        <v>81</v>
      </c>
      <c r="B64">
        <v>15</v>
      </c>
      <c r="C64">
        <v>3968.53</v>
      </c>
      <c r="D64">
        <v>264.57</v>
      </c>
    </row>
    <row r="65" spans="1:4">
      <c r="A65" t="s">
        <v>82</v>
      </c>
      <c r="B65">
        <v>48</v>
      </c>
      <c r="C65">
        <v>2803.64</v>
      </c>
      <c r="D65">
        <v>58.41</v>
      </c>
    </row>
    <row r="66" spans="1:4">
      <c r="A66" t="s">
        <v>83</v>
      </c>
      <c r="B66">
        <v>30</v>
      </c>
      <c r="C66">
        <v>2119.5100000000002</v>
      </c>
      <c r="D66">
        <v>70.650000000000006</v>
      </c>
    </row>
    <row r="67" spans="1:4">
      <c r="A67" t="s">
        <v>84</v>
      </c>
      <c r="B67">
        <v>14</v>
      </c>
      <c r="C67">
        <v>2054.9899999999998</v>
      </c>
      <c r="D67">
        <v>146.78</v>
      </c>
    </row>
    <row r="68" spans="1:4">
      <c r="A68" t="s">
        <v>85</v>
      </c>
      <c r="B68">
        <v>24</v>
      </c>
      <c r="C68">
        <v>1814.01</v>
      </c>
      <c r="D68">
        <v>75.58</v>
      </c>
    </row>
    <row r="69" spans="1:4">
      <c r="A69" t="s">
        <v>86</v>
      </c>
      <c r="B69">
        <v>39</v>
      </c>
      <c r="C69">
        <v>1567.59</v>
      </c>
      <c r="D69">
        <v>40.19</v>
      </c>
    </row>
    <row r="70" spans="1:4">
      <c r="A70" t="s">
        <v>87</v>
      </c>
      <c r="B70">
        <v>9</v>
      </c>
      <c r="C70">
        <v>1545.95</v>
      </c>
      <c r="D70">
        <v>171.77</v>
      </c>
    </row>
    <row r="71" spans="1:4">
      <c r="A71" t="s">
        <v>88</v>
      </c>
      <c r="B71">
        <v>33</v>
      </c>
      <c r="C71">
        <v>1110.04</v>
      </c>
      <c r="D71">
        <v>33.64</v>
      </c>
    </row>
    <row r="72" spans="1:4">
      <c r="A72" t="s">
        <v>89</v>
      </c>
      <c r="B72">
        <v>30</v>
      </c>
      <c r="C72">
        <v>760.27</v>
      </c>
      <c r="D72">
        <v>25.34</v>
      </c>
    </row>
    <row r="73" spans="1:4">
      <c r="A73" t="s">
        <v>90</v>
      </c>
      <c r="B73">
        <v>14</v>
      </c>
      <c r="C73">
        <v>730</v>
      </c>
      <c r="D73">
        <v>52.14</v>
      </c>
    </row>
    <row r="74" spans="1:4">
      <c r="A74" t="s">
        <v>91</v>
      </c>
      <c r="B74">
        <v>8</v>
      </c>
      <c r="C74">
        <v>569.85</v>
      </c>
      <c r="D74">
        <v>71.23</v>
      </c>
    </row>
    <row r="75" spans="1:4">
      <c r="A75" t="s">
        <v>92</v>
      </c>
      <c r="B75">
        <v>2</v>
      </c>
      <c r="C75">
        <v>283.29000000000002</v>
      </c>
      <c r="D75">
        <v>141.63999999999999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selection activeCell="F7" sqref="F7"/>
    </sheetView>
  </sheetViews>
  <sheetFormatPr defaultRowHeight="15"/>
  <cols>
    <col min="3" max="3" width="22.28515625" bestFit="1" customWidth="1"/>
    <col min="4" max="4" width="11.7109375" bestFit="1" customWidth="1"/>
    <col min="5" max="5" width="25.7109375" bestFit="1" customWidth="1"/>
    <col min="6" max="6" width="22" bestFit="1" customWidth="1"/>
    <col min="7" max="7" width="17.85546875" bestFit="1" customWidth="1"/>
  </cols>
  <sheetData>
    <row r="1" spans="1:7" ht="15.75">
      <c r="A1" s="1" t="s">
        <v>0</v>
      </c>
      <c r="B1" s="1" t="s">
        <v>1</v>
      </c>
      <c r="C1" s="1" t="s">
        <v>93</v>
      </c>
      <c r="D1" s="1" t="s">
        <v>94</v>
      </c>
      <c r="E1" s="9" t="s">
        <v>95</v>
      </c>
      <c r="F1" s="1" t="s">
        <v>96</v>
      </c>
      <c r="G1" s="1" t="s">
        <v>5</v>
      </c>
    </row>
    <row r="2" spans="1:7">
      <c r="A2">
        <v>2016</v>
      </c>
      <c r="B2">
        <v>9</v>
      </c>
      <c r="C2">
        <v>1</v>
      </c>
      <c r="D2">
        <v>1</v>
      </c>
      <c r="E2" s="8">
        <f>(D2/C2)*100</f>
        <v>100</v>
      </c>
      <c r="F2" s="8">
        <v>54.81</v>
      </c>
      <c r="G2" t="str">
        <f>TEXT(DATE(A2,B2,1),"mmm yyyy")</f>
        <v>Sep 2016</v>
      </c>
    </row>
    <row r="3" spans="1:7">
      <c r="A3">
        <v>2016</v>
      </c>
      <c r="B3">
        <v>10</v>
      </c>
      <c r="C3">
        <v>270</v>
      </c>
      <c r="D3">
        <v>3</v>
      </c>
      <c r="E3" s="8">
        <f t="shared" ref="E3:E24" si="0">(D3/C3)*100</f>
        <v>1.1111111111111112</v>
      </c>
      <c r="F3" s="8">
        <v>19.579999999999998</v>
      </c>
      <c r="G3" t="str">
        <f t="shared" ref="G3:G24" si="1">TEXT(DATE(A3,B3,1),"mmm yyyy")</f>
        <v>Oct 2016</v>
      </c>
    </row>
    <row r="4" spans="1:7">
      <c r="A4">
        <v>2016</v>
      </c>
      <c r="B4">
        <v>12</v>
      </c>
      <c r="C4">
        <v>1</v>
      </c>
      <c r="D4">
        <v>0</v>
      </c>
      <c r="E4" s="8">
        <f t="shared" si="0"/>
        <v>0</v>
      </c>
      <c r="F4" s="8">
        <v>4.6900000000000004</v>
      </c>
      <c r="G4" t="str">
        <f>TEXT(DATE(A4,B4,1),"mmm yyyy")</f>
        <v>Dec 2016</v>
      </c>
    </row>
    <row r="5" spans="1:7">
      <c r="A5">
        <v>2017</v>
      </c>
      <c r="B5">
        <v>1</v>
      </c>
      <c r="C5">
        <v>750</v>
      </c>
      <c r="D5">
        <v>23</v>
      </c>
      <c r="E5" s="8">
        <f t="shared" si="0"/>
        <v>3.0666666666666664</v>
      </c>
      <c r="F5" s="8">
        <v>12.65</v>
      </c>
      <c r="G5" t="str">
        <f t="shared" si="1"/>
        <v>Jan 2017</v>
      </c>
    </row>
    <row r="6" spans="1:7">
      <c r="A6">
        <v>2017</v>
      </c>
      <c r="B6">
        <v>2</v>
      </c>
      <c r="C6">
        <v>1653</v>
      </c>
      <c r="D6">
        <v>53</v>
      </c>
      <c r="E6" s="8">
        <f t="shared" si="0"/>
        <v>3.2062915910465817</v>
      </c>
      <c r="F6" s="8">
        <v>13.17</v>
      </c>
      <c r="G6" t="str">
        <f t="shared" si="1"/>
        <v>Feb 2017</v>
      </c>
    </row>
    <row r="7" spans="1:7">
      <c r="A7">
        <v>2017</v>
      </c>
      <c r="B7">
        <v>3</v>
      </c>
      <c r="C7">
        <v>2546</v>
      </c>
      <c r="D7">
        <v>142</v>
      </c>
      <c r="E7" s="8">
        <f t="shared" si="0"/>
        <v>5.5773762765121759</v>
      </c>
      <c r="F7" s="8">
        <v>12.95</v>
      </c>
      <c r="G7" t="str">
        <f t="shared" si="1"/>
        <v>Mar 2017</v>
      </c>
    </row>
    <row r="8" spans="1:7">
      <c r="A8">
        <v>2017</v>
      </c>
      <c r="B8">
        <v>4</v>
      </c>
      <c r="C8">
        <v>2303</v>
      </c>
      <c r="D8">
        <v>181</v>
      </c>
      <c r="E8" s="8">
        <f t="shared" si="0"/>
        <v>7.8593139383412947</v>
      </c>
      <c r="F8" s="8">
        <v>14.92</v>
      </c>
      <c r="G8" t="str">
        <f t="shared" si="1"/>
        <v>Apr 2017</v>
      </c>
    </row>
    <row r="9" spans="1:7">
      <c r="A9">
        <v>2017</v>
      </c>
      <c r="B9">
        <v>5</v>
      </c>
      <c r="C9">
        <v>3545</v>
      </c>
      <c r="D9">
        <v>128</v>
      </c>
      <c r="E9" s="8">
        <f t="shared" si="0"/>
        <v>3.6107193229901267</v>
      </c>
      <c r="F9" s="8">
        <v>11.32</v>
      </c>
      <c r="G9" t="str">
        <f t="shared" si="1"/>
        <v>May 2017</v>
      </c>
    </row>
    <row r="10" spans="1:7">
      <c r="A10">
        <v>2017</v>
      </c>
      <c r="B10">
        <v>6</v>
      </c>
      <c r="C10">
        <v>3135</v>
      </c>
      <c r="D10">
        <v>121</v>
      </c>
      <c r="E10" s="8">
        <f t="shared" si="0"/>
        <v>3.8596491228070176</v>
      </c>
      <c r="F10" s="8">
        <v>12.01</v>
      </c>
      <c r="G10" t="str">
        <f t="shared" si="1"/>
        <v>Jun 2017</v>
      </c>
    </row>
    <row r="11" spans="1:7">
      <c r="A11">
        <v>2017</v>
      </c>
      <c r="B11">
        <v>7</v>
      </c>
      <c r="C11">
        <v>3872</v>
      </c>
      <c r="D11">
        <v>133</v>
      </c>
      <c r="E11" s="8">
        <f t="shared" si="0"/>
        <v>3.4349173553719003</v>
      </c>
      <c r="F11" s="8">
        <v>11.59</v>
      </c>
      <c r="G11" t="str">
        <f t="shared" si="1"/>
        <v>Jul 2017</v>
      </c>
    </row>
    <row r="12" spans="1:7">
      <c r="A12">
        <v>2017</v>
      </c>
      <c r="B12">
        <v>8</v>
      </c>
      <c r="C12">
        <v>4193</v>
      </c>
      <c r="D12">
        <v>139</v>
      </c>
      <c r="E12" s="8">
        <f t="shared" si="0"/>
        <v>3.3150488910088241</v>
      </c>
      <c r="F12" s="8">
        <v>11.15</v>
      </c>
      <c r="G12" t="str">
        <f t="shared" si="1"/>
        <v>Aug 2017</v>
      </c>
    </row>
    <row r="13" spans="1:7">
      <c r="A13">
        <v>2017</v>
      </c>
      <c r="B13">
        <v>9</v>
      </c>
      <c r="C13">
        <v>4150</v>
      </c>
      <c r="D13">
        <v>216</v>
      </c>
      <c r="E13" s="8">
        <f t="shared" si="0"/>
        <v>5.2048192771084336</v>
      </c>
      <c r="F13" s="8">
        <v>11.85</v>
      </c>
      <c r="G13" t="str">
        <f t="shared" si="1"/>
        <v>Sep 2017</v>
      </c>
    </row>
    <row r="14" spans="1:7">
      <c r="A14">
        <v>2017</v>
      </c>
      <c r="B14">
        <v>10</v>
      </c>
      <c r="C14">
        <v>4478</v>
      </c>
      <c r="D14">
        <v>237</v>
      </c>
      <c r="E14" s="8">
        <f t="shared" si="0"/>
        <v>5.2925413130861996</v>
      </c>
      <c r="F14" s="8">
        <v>11.86</v>
      </c>
      <c r="G14" t="str">
        <f t="shared" si="1"/>
        <v>Oct 2017</v>
      </c>
    </row>
    <row r="15" spans="1:7">
      <c r="A15">
        <v>2017</v>
      </c>
      <c r="B15">
        <v>11</v>
      </c>
      <c r="C15">
        <v>7288</v>
      </c>
      <c r="D15">
        <v>1043</v>
      </c>
      <c r="E15" s="8">
        <f t="shared" si="0"/>
        <v>14.31119648737651</v>
      </c>
      <c r="F15" s="8">
        <v>15.16</v>
      </c>
      <c r="G15" t="str">
        <f t="shared" si="1"/>
        <v>Nov 2017</v>
      </c>
    </row>
    <row r="16" spans="1:7">
      <c r="A16">
        <v>2017</v>
      </c>
      <c r="B16">
        <v>12</v>
      </c>
      <c r="C16">
        <v>5513</v>
      </c>
      <c r="D16">
        <v>462</v>
      </c>
      <c r="E16" s="8">
        <f t="shared" si="0"/>
        <v>8.3801922728097225</v>
      </c>
      <c r="F16" s="8">
        <v>15.39</v>
      </c>
      <c r="G16" t="str">
        <f t="shared" si="1"/>
        <v>Dec 2017</v>
      </c>
    </row>
    <row r="17" spans="1:7">
      <c r="A17">
        <v>2018</v>
      </c>
      <c r="B17">
        <v>1</v>
      </c>
      <c r="C17">
        <v>7069</v>
      </c>
      <c r="D17">
        <v>464</v>
      </c>
      <c r="E17" s="8">
        <f t="shared" si="0"/>
        <v>6.5638704201442923</v>
      </c>
      <c r="F17" s="8">
        <v>14.08</v>
      </c>
      <c r="G17" t="str">
        <f t="shared" si="1"/>
        <v>Jan 2018</v>
      </c>
    </row>
    <row r="18" spans="1:7">
      <c r="A18">
        <v>2018</v>
      </c>
      <c r="B18">
        <v>2</v>
      </c>
      <c r="C18">
        <v>6556</v>
      </c>
      <c r="D18">
        <v>1049</v>
      </c>
      <c r="E18" s="8">
        <f t="shared" si="0"/>
        <v>16.000610128126908</v>
      </c>
      <c r="F18" s="8">
        <v>16.95</v>
      </c>
      <c r="G18" t="str">
        <f t="shared" si="1"/>
        <v>Feb 2018</v>
      </c>
    </row>
    <row r="19" spans="1:7">
      <c r="A19">
        <v>2018</v>
      </c>
      <c r="B19">
        <v>3</v>
      </c>
      <c r="C19">
        <v>7003</v>
      </c>
      <c r="D19">
        <v>1496</v>
      </c>
      <c r="E19" s="8">
        <f t="shared" si="0"/>
        <v>21.362273311437953</v>
      </c>
      <c r="F19" s="8">
        <v>16.3</v>
      </c>
      <c r="G19" t="str">
        <f t="shared" si="1"/>
        <v>Mar 2018</v>
      </c>
    </row>
    <row r="20" spans="1:7">
      <c r="A20">
        <v>2018</v>
      </c>
      <c r="B20">
        <v>4</v>
      </c>
      <c r="C20">
        <v>6798</v>
      </c>
      <c r="D20">
        <v>361</v>
      </c>
      <c r="E20" s="8">
        <f t="shared" si="0"/>
        <v>5.3103854074727863</v>
      </c>
      <c r="F20" s="8">
        <v>11.5</v>
      </c>
      <c r="G20" t="str">
        <f t="shared" si="1"/>
        <v>Apr 2018</v>
      </c>
    </row>
    <row r="21" spans="1:7">
      <c r="A21">
        <v>2018</v>
      </c>
      <c r="B21">
        <v>5</v>
      </c>
      <c r="C21">
        <v>6749</v>
      </c>
      <c r="D21">
        <v>556</v>
      </c>
      <c r="E21" s="8">
        <f t="shared" si="0"/>
        <v>8.2382575196325387</v>
      </c>
      <c r="F21" s="8">
        <v>11.42</v>
      </c>
      <c r="G21" t="str">
        <f t="shared" si="1"/>
        <v>May 2018</v>
      </c>
    </row>
    <row r="22" spans="1:7">
      <c r="A22">
        <v>2018</v>
      </c>
      <c r="B22">
        <v>6</v>
      </c>
      <c r="C22">
        <v>6096</v>
      </c>
      <c r="D22">
        <v>83</v>
      </c>
      <c r="E22" s="8">
        <f t="shared" si="0"/>
        <v>1.3615485564304464</v>
      </c>
      <c r="F22" s="8">
        <v>9.24</v>
      </c>
      <c r="G22" t="str">
        <f t="shared" si="1"/>
        <v>Jun 2018</v>
      </c>
    </row>
    <row r="23" spans="1:7">
      <c r="A23">
        <v>2018</v>
      </c>
      <c r="B23">
        <v>7</v>
      </c>
      <c r="C23">
        <v>6156</v>
      </c>
      <c r="D23">
        <v>276</v>
      </c>
      <c r="E23" s="8">
        <f t="shared" si="0"/>
        <v>4.4834307992202724</v>
      </c>
      <c r="F23" s="8">
        <v>8.9600000000000009</v>
      </c>
      <c r="G23" t="str">
        <f t="shared" si="1"/>
        <v>Jul 2018</v>
      </c>
    </row>
    <row r="24" spans="1:7">
      <c r="A24">
        <v>2018</v>
      </c>
      <c r="B24">
        <v>8</v>
      </c>
      <c r="C24">
        <v>6351</v>
      </c>
      <c r="D24">
        <v>660</v>
      </c>
      <c r="E24" s="8">
        <f t="shared" si="0"/>
        <v>10.392064241851678</v>
      </c>
      <c r="F24" s="8">
        <v>7.73</v>
      </c>
      <c r="G24" t="str">
        <f t="shared" si="1"/>
        <v>Aug 2018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7"/>
  <sheetViews>
    <sheetView workbookViewId="0">
      <selection activeCell="C12" sqref="C12"/>
    </sheetView>
  </sheetViews>
  <sheetFormatPr defaultRowHeight="15"/>
  <cols>
    <col min="1" max="1" width="46" bestFit="1" customWidth="1"/>
    <col min="2" max="2" width="20.140625" customWidth="1"/>
    <col min="3" max="3" width="20" customWidth="1"/>
    <col min="4" max="4" width="20.140625" customWidth="1"/>
    <col min="5" max="5" width="20.140625" bestFit="1" customWidth="1"/>
  </cols>
  <sheetData>
    <row r="1" spans="1:4">
      <c r="A1" s="3" t="s">
        <v>16</v>
      </c>
      <c r="B1" t="s">
        <v>98</v>
      </c>
      <c r="C1" s="3" t="s">
        <v>8</v>
      </c>
      <c r="D1" t="s">
        <v>98</v>
      </c>
    </row>
    <row r="2" spans="1:4">
      <c r="A2" t="s">
        <v>48</v>
      </c>
      <c r="B2" s="5">
        <v>72530.47</v>
      </c>
      <c r="C2" t="s">
        <v>13</v>
      </c>
      <c r="D2" s="5">
        <v>7652576.5899999999</v>
      </c>
    </row>
    <row r="3" spans="1:4">
      <c r="A3" t="s">
        <v>52</v>
      </c>
      <c r="B3" s="5">
        <v>55024.959999999999</v>
      </c>
      <c r="C3" t="s">
        <v>15</v>
      </c>
      <c r="D3" s="5">
        <v>20117.28</v>
      </c>
    </row>
    <row r="4" spans="1:4">
      <c r="A4" t="s">
        <v>63</v>
      </c>
      <c r="B4" s="5">
        <v>24202.639999999999</v>
      </c>
      <c r="C4" t="s">
        <v>14</v>
      </c>
      <c r="D4" s="5">
        <v>5918949.8300000001</v>
      </c>
    </row>
    <row r="5" spans="1:4">
      <c r="A5" t="s">
        <v>85</v>
      </c>
      <c r="B5" s="5">
        <v>1814.01</v>
      </c>
      <c r="C5" t="s">
        <v>97</v>
      </c>
      <c r="D5" s="5">
        <v>13591643.699999999</v>
      </c>
    </row>
    <row r="6" spans="1:4">
      <c r="A6" t="s">
        <v>53</v>
      </c>
      <c r="B6" s="5">
        <v>50688.5</v>
      </c>
    </row>
    <row r="7" spans="1:4">
      <c r="A7" t="s">
        <v>27</v>
      </c>
      <c r="B7" s="5">
        <v>592720.11</v>
      </c>
    </row>
    <row r="8" spans="1:4">
      <c r="A8" t="s">
        <v>30</v>
      </c>
      <c r="B8" s="5">
        <v>411764.89</v>
      </c>
    </row>
    <row r="9" spans="1:4">
      <c r="A9" t="s">
        <v>21</v>
      </c>
      <c r="B9" s="5">
        <v>1036988.68</v>
      </c>
    </row>
    <row r="10" spans="1:4">
      <c r="A10" t="s">
        <v>55</v>
      </c>
      <c r="B10" s="5">
        <v>46856.88</v>
      </c>
    </row>
    <row r="11" spans="1:4">
      <c r="A11" t="s">
        <v>78</v>
      </c>
      <c r="B11" s="5">
        <v>4639.8500000000004</v>
      </c>
    </row>
    <row r="12" spans="1:4">
      <c r="A12" t="s">
        <v>68</v>
      </c>
      <c r="B12" s="5">
        <v>19096.060000000001</v>
      </c>
    </row>
    <row r="13" spans="1:4">
      <c r="A13" t="s">
        <v>90</v>
      </c>
      <c r="B13" s="5">
        <v>730</v>
      </c>
    </row>
    <row r="14" spans="1:4">
      <c r="A14" t="s">
        <v>73</v>
      </c>
      <c r="B14" s="5">
        <v>8800.82</v>
      </c>
    </row>
    <row r="15" spans="1:4">
      <c r="A15" t="s">
        <v>75</v>
      </c>
      <c r="B15" s="5">
        <v>6933.46</v>
      </c>
    </row>
    <row r="16" spans="1:4">
      <c r="A16" t="s">
        <v>35</v>
      </c>
      <c r="B16" s="5">
        <v>222963.13</v>
      </c>
    </row>
    <row r="17" spans="1:2">
      <c r="A17" t="s">
        <v>23</v>
      </c>
      <c r="B17" s="5">
        <v>911954.32</v>
      </c>
    </row>
    <row r="18" spans="1:2">
      <c r="A18" t="s">
        <v>41</v>
      </c>
      <c r="B18" s="5">
        <v>157465.22</v>
      </c>
    </row>
    <row r="19" spans="1:2">
      <c r="A19" t="s">
        <v>43</v>
      </c>
      <c r="B19" s="5">
        <v>144677.59</v>
      </c>
    </row>
    <row r="20" spans="1:2">
      <c r="A20" t="s">
        <v>57</v>
      </c>
      <c r="B20" s="5">
        <v>41080</v>
      </c>
    </row>
    <row r="21" spans="1:2">
      <c r="A21" t="s">
        <v>58</v>
      </c>
      <c r="B21" s="5">
        <v>40544.519999999997</v>
      </c>
    </row>
    <row r="22" spans="1:2">
      <c r="A22" t="s">
        <v>25</v>
      </c>
      <c r="B22" s="5">
        <v>635290.85</v>
      </c>
    </row>
    <row r="23" spans="1:2">
      <c r="A23" t="s">
        <v>62</v>
      </c>
      <c r="B23" s="5">
        <v>25715.89</v>
      </c>
    </row>
    <row r="24" spans="1:2">
      <c r="A24" t="s">
        <v>69</v>
      </c>
      <c r="B24" s="5">
        <v>15903.95</v>
      </c>
    </row>
    <row r="25" spans="1:2">
      <c r="A25" t="s">
        <v>86</v>
      </c>
      <c r="B25" s="5">
        <v>1567.59</v>
      </c>
    </row>
    <row r="26" spans="1:2">
      <c r="A26" t="s">
        <v>65</v>
      </c>
      <c r="B26" s="5">
        <v>22428.7</v>
      </c>
    </row>
    <row r="27" spans="1:2">
      <c r="A27" t="s">
        <v>77</v>
      </c>
      <c r="B27" s="5">
        <v>5999.39</v>
      </c>
    </row>
    <row r="28" spans="1:2">
      <c r="A28" t="s">
        <v>40</v>
      </c>
      <c r="B28" s="5">
        <v>160246.74</v>
      </c>
    </row>
    <row r="29" spans="1:2">
      <c r="A29" t="s">
        <v>82</v>
      </c>
      <c r="B29" s="5">
        <v>2803.64</v>
      </c>
    </row>
    <row r="30" spans="1:2">
      <c r="A30" t="s">
        <v>42</v>
      </c>
      <c r="B30" s="5">
        <v>152823.54</v>
      </c>
    </row>
    <row r="31" spans="1:2">
      <c r="A31" t="s">
        <v>91</v>
      </c>
      <c r="B31" s="5">
        <v>569.85</v>
      </c>
    </row>
    <row r="32" spans="1:2">
      <c r="A32" t="s">
        <v>71</v>
      </c>
      <c r="B32" s="5">
        <v>10797.82</v>
      </c>
    </row>
    <row r="33" spans="1:2">
      <c r="A33" t="s">
        <v>64</v>
      </c>
      <c r="B33" s="5">
        <v>23562.77</v>
      </c>
    </row>
    <row r="34" spans="1:2">
      <c r="A34" t="s">
        <v>83</v>
      </c>
      <c r="B34" s="5">
        <v>2119.5100000000002</v>
      </c>
    </row>
    <row r="35" spans="1:2">
      <c r="A35" t="s">
        <v>72</v>
      </c>
      <c r="B35" s="5">
        <v>9541.5499999999993</v>
      </c>
    </row>
    <row r="36" spans="1:2">
      <c r="A36" t="s">
        <v>50</v>
      </c>
      <c r="B36" s="5">
        <v>59583</v>
      </c>
    </row>
    <row r="37" spans="1:2">
      <c r="A37" t="s">
        <v>88</v>
      </c>
      <c r="B37" s="5">
        <v>1110.04</v>
      </c>
    </row>
    <row r="38" spans="1:2">
      <c r="A38" t="s">
        <v>60</v>
      </c>
      <c r="B38" s="5">
        <v>29393.41</v>
      </c>
    </row>
    <row r="39" spans="1:2">
      <c r="A39" t="s">
        <v>70</v>
      </c>
      <c r="B39" s="5">
        <v>15179.48</v>
      </c>
    </row>
    <row r="40" spans="1:2">
      <c r="A40" t="s">
        <v>67</v>
      </c>
      <c r="B40" s="5">
        <v>20028.78</v>
      </c>
    </row>
    <row r="41" spans="1:2">
      <c r="A41" t="s">
        <v>24</v>
      </c>
      <c r="B41" s="5">
        <v>729762.49</v>
      </c>
    </row>
    <row r="42" spans="1:2">
      <c r="A42" t="s">
        <v>49</v>
      </c>
      <c r="B42" s="5">
        <v>68916.56</v>
      </c>
    </row>
    <row r="43" spans="1:2">
      <c r="A43" t="s">
        <v>80</v>
      </c>
      <c r="B43" s="5">
        <v>4368.08</v>
      </c>
    </row>
    <row r="44" spans="1:2">
      <c r="A44" t="s">
        <v>28</v>
      </c>
      <c r="B44" s="5">
        <v>485256.46</v>
      </c>
    </row>
    <row r="45" spans="1:2">
      <c r="A45" t="s">
        <v>19</v>
      </c>
      <c r="B45" s="5">
        <v>1258681.3400000001</v>
      </c>
    </row>
    <row r="46" spans="1:2">
      <c r="A46" t="s">
        <v>47</v>
      </c>
      <c r="B46" s="5">
        <v>80171.53</v>
      </c>
    </row>
    <row r="47" spans="1:2">
      <c r="A47" t="s">
        <v>45</v>
      </c>
      <c r="B47" s="5">
        <v>113317.74</v>
      </c>
    </row>
    <row r="48" spans="1:2">
      <c r="A48" t="s">
        <v>89</v>
      </c>
      <c r="B48" s="5">
        <v>760.27</v>
      </c>
    </row>
    <row r="49" spans="1:2">
      <c r="A49" t="s">
        <v>51</v>
      </c>
      <c r="B49" s="5">
        <v>58572.04</v>
      </c>
    </row>
    <row r="50" spans="1:2">
      <c r="A50" t="s">
        <v>46</v>
      </c>
      <c r="B50" s="5">
        <v>83088.12</v>
      </c>
    </row>
    <row r="51" spans="1:2">
      <c r="A51" t="s">
        <v>26</v>
      </c>
      <c r="B51" s="5">
        <v>632248.66</v>
      </c>
    </row>
    <row r="52" spans="1:2">
      <c r="A52" t="s">
        <v>59</v>
      </c>
      <c r="B52" s="5">
        <v>39669.61</v>
      </c>
    </row>
    <row r="53" spans="1:2">
      <c r="A53" t="s">
        <v>56</v>
      </c>
      <c r="B53" s="5">
        <v>46328.37</v>
      </c>
    </row>
    <row r="54" spans="1:2">
      <c r="A54" t="s">
        <v>84</v>
      </c>
      <c r="B54" s="5">
        <v>2054.9899999999998</v>
      </c>
    </row>
    <row r="55" spans="1:2">
      <c r="A55" t="s">
        <v>44</v>
      </c>
      <c r="B55" s="5">
        <v>140429.98000000001</v>
      </c>
    </row>
    <row r="56" spans="1:2">
      <c r="A56" t="s">
        <v>61</v>
      </c>
      <c r="B56" s="5">
        <v>28378.47</v>
      </c>
    </row>
    <row r="57" spans="1:2">
      <c r="A57" t="s">
        <v>76</v>
      </c>
      <c r="B57" s="5">
        <v>6034.35</v>
      </c>
    </row>
    <row r="58" spans="1:2">
      <c r="A58" t="s">
        <v>37</v>
      </c>
      <c r="B58" s="5">
        <v>191498.88</v>
      </c>
    </row>
    <row r="59" spans="1:2">
      <c r="A59" t="s">
        <v>33</v>
      </c>
      <c r="B59" s="5">
        <v>273960.7</v>
      </c>
    </row>
    <row r="60" spans="1:2">
      <c r="A60" t="s">
        <v>79</v>
      </c>
      <c r="B60" s="5">
        <v>4485.18</v>
      </c>
    </row>
    <row r="61" spans="1:2">
      <c r="A61" t="s">
        <v>87</v>
      </c>
      <c r="B61" s="5">
        <v>1545.95</v>
      </c>
    </row>
    <row r="62" spans="1:2">
      <c r="A62" t="s">
        <v>31</v>
      </c>
      <c r="B62" s="5">
        <v>399124.87</v>
      </c>
    </row>
    <row r="63" spans="1:2">
      <c r="A63" t="s">
        <v>36</v>
      </c>
      <c r="B63" s="5">
        <v>214315.41</v>
      </c>
    </row>
    <row r="64" spans="1:2">
      <c r="A64" t="s">
        <v>81</v>
      </c>
      <c r="B64" s="5">
        <v>3968.53</v>
      </c>
    </row>
    <row r="65" spans="1:2">
      <c r="A65" t="s">
        <v>92</v>
      </c>
      <c r="B65" s="5">
        <v>283.29000000000002</v>
      </c>
    </row>
    <row r="66" spans="1:2">
      <c r="A66" t="s">
        <v>66</v>
      </c>
      <c r="B66" s="5">
        <v>21509.23</v>
      </c>
    </row>
    <row r="67" spans="1:2">
      <c r="A67" t="s">
        <v>38</v>
      </c>
      <c r="B67" s="5">
        <v>190648.58</v>
      </c>
    </row>
    <row r="68" spans="1:2">
      <c r="A68" t="s">
        <v>54</v>
      </c>
      <c r="B68" s="5">
        <v>47445.71</v>
      </c>
    </row>
    <row r="69" spans="1:2">
      <c r="A69" t="s">
        <v>22</v>
      </c>
      <c r="B69" s="5">
        <v>988048.97</v>
      </c>
    </row>
    <row r="70" spans="1:2">
      <c r="A70" t="s">
        <v>34</v>
      </c>
      <c r="B70" s="5">
        <v>230943.23</v>
      </c>
    </row>
    <row r="71" spans="1:2">
      <c r="A71" t="s">
        <v>74</v>
      </c>
      <c r="B71" s="5">
        <v>7528.41</v>
      </c>
    </row>
    <row r="72" spans="1:2">
      <c r="A72" t="s">
        <v>32</v>
      </c>
      <c r="B72" s="5">
        <v>323667.53000000003</v>
      </c>
    </row>
    <row r="73" spans="1:2">
      <c r="A73" t="s">
        <v>29</v>
      </c>
      <c r="B73" s="5">
        <v>483946.6</v>
      </c>
    </row>
    <row r="74" spans="1:2">
      <c r="A74" t="s">
        <v>39</v>
      </c>
      <c r="B74" s="5">
        <v>179535.28</v>
      </c>
    </row>
    <row r="75" spans="1:2">
      <c r="A75" t="s">
        <v>20</v>
      </c>
      <c r="B75" s="5">
        <v>1205005.68</v>
      </c>
    </row>
    <row r="76" spans="1:2">
      <c r="A76" t="s">
        <v>97</v>
      </c>
      <c r="B76" s="5">
        <v>13591643.699999996</v>
      </c>
    </row>
    <row r="78" spans="1:2">
      <c r="A78" s="4"/>
      <c r="B78" s="5"/>
    </row>
    <row r="79" spans="1:2">
      <c r="A79" s="4"/>
      <c r="B79" s="5"/>
    </row>
    <row r="80" spans="1:2">
      <c r="A80" s="4"/>
      <c r="B80" s="5"/>
    </row>
    <row r="81" spans="1:2">
      <c r="A81" s="4"/>
      <c r="B81" s="5"/>
    </row>
    <row r="82" spans="1:2">
      <c r="A82" s="4"/>
      <c r="B82" s="5"/>
    </row>
    <row r="83" spans="1:2">
      <c r="A83" s="4"/>
      <c r="B83" s="5"/>
    </row>
    <row r="84" spans="1:2">
      <c r="A84" s="4"/>
      <c r="B84" s="5"/>
    </row>
    <row r="85" spans="1:2">
      <c r="A85" s="4"/>
      <c r="B85" s="5"/>
    </row>
    <row r="86" spans="1:2">
      <c r="A86" s="4"/>
      <c r="B86" s="5"/>
    </row>
    <row r="87" spans="1:2">
      <c r="A87" s="4"/>
      <c r="B87" s="5"/>
    </row>
    <row r="88" spans="1:2">
      <c r="A88" s="4"/>
      <c r="B88" s="5"/>
    </row>
    <row r="89" spans="1:2">
      <c r="A89" s="4"/>
      <c r="B89" s="5"/>
    </row>
    <row r="90" spans="1:2">
      <c r="A90" s="4"/>
      <c r="B90" s="5"/>
    </row>
    <row r="91" spans="1:2">
      <c r="A91" s="4"/>
      <c r="B91" s="5"/>
    </row>
    <row r="92" spans="1:2">
      <c r="A92" s="4"/>
      <c r="B92" s="5"/>
    </row>
    <row r="93" spans="1:2">
      <c r="A93" s="4"/>
      <c r="B93" s="5"/>
    </row>
    <row r="94" spans="1:2">
      <c r="A94" s="4"/>
      <c r="B94" s="5"/>
    </row>
    <row r="95" spans="1:2">
      <c r="A95" s="4"/>
      <c r="B95" s="5"/>
    </row>
    <row r="96" spans="1:2">
      <c r="A96" s="4"/>
      <c r="B96" s="5"/>
    </row>
    <row r="97" spans="1:2">
      <c r="A97" s="4"/>
      <c r="B97" s="5"/>
    </row>
    <row r="98" spans="1:2">
      <c r="A98" s="4"/>
      <c r="B98" s="5"/>
    </row>
    <row r="99" spans="1:2">
      <c r="A99" s="4"/>
      <c r="B99" s="5"/>
    </row>
    <row r="100" spans="1:2">
      <c r="A100" s="4"/>
      <c r="B100" s="5"/>
    </row>
    <row r="101" spans="1:2">
      <c r="A101" s="4"/>
      <c r="B101" s="5"/>
    </row>
    <row r="102" spans="1:2">
      <c r="A102" s="4"/>
      <c r="B102" s="5"/>
    </row>
    <row r="103" spans="1:2">
      <c r="A103" s="4"/>
      <c r="B103" s="5"/>
    </row>
    <row r="104" spans="1:2">
      <c r="A104" s="4"/>
      <c r="B104" s="5"/>
    </row>
    <row r="105" spans="1:2">
      <c r="A105" s="4"/>
      <c r="B105" s="5"/>
    </row>
    <row r="106" spans="1:2">
      <c r="A106" s="4"/>
      <c r="B106" s="5"/>
    </row>
    <row r="107" spans="1:2">
      <c r="A107" s="4"/>
      <c r="B107" s="5"/>
    </row>
    <row r="108" spans="1:2">
      <c r="A108" s="4"/>
      <c r="B108" s="5"/>
    </row>
    <row r="109" spans="1:2">
      <c r="A109" s="4"/>
      <c r="B109" s="5"/>
    </row>
    <row r="110" spans="1:2">
      <c r="A110" s="4"/>
      <c r="B110" s="5"/>
    </row>
    <row r="111" spans="1:2">
      <c r="A111" s="4"/>
      <c r="B111" s="5"/>
    </row>
    <row r="112" spans="1:2">
      <c r="A112" s="4"/>
      <c r="B112" s="5"/>
    </row>
    <row r="113" spans="1:2">
      <c r="A113" s="4"/>
      <c r="B113" s="5"/>
    </row>
    <row r="114" spans="1:2">
      <c r="A114" s="4"/>
      <c r="B114" s="5"/>
    </row>
    <row r="115" spans="1:2">
      <c r="A115" s="4"/>
      <c r="B115" s="5"/>
    </row>
    <row r="116" spans="1:2">
      <c r="A116" s="4"/>
      <c r="B116" s="5"/>
    </row>
    <row r="117" spans="1:2">
      <c r="A117" s="4"/>
      <c r="B117" s="5"/>
    </row>
    <row r="118" spans="1:2">
      <c r="A118" s="4"/>
      <c r="B118" s="5"/>
    </row>
    <row r="119" spans="1:2">
      <c r="A119" s="4"/>
      <c r="B119" s="5"/>
    </row>
    <row r="120" spans="1:2">
      <c r="A120" s="4"/>
      <c r="B120" s="5"/>
    </row>
    <row r="121" spans="1:2">
      <c r="A121" s="4"/>
      <c r="B121" s="5"/>
    </row>
    <row r="122" spans="1:2">
      <c r="A122" s="4"/>
      <c r="B122" s="5"/>
    </row>
    <row r="123" spans="1:2">
      <c r="A123" s="4"/>
      <c r="B123" s="5"/>
    </row>
    <row r="124" spans="1:2">
      <c r="A124" s="4"/>
      <c r="B124" s="5"/>
    </row>
    <row r="125" spans="1:2">
      <c r="A125" s="4"/>
      <c r="B125" s="5"/>
    </row>
    <row r="126" spans="1:2">
      <c r="A126" s="4"/>
      <c r="B126" s="5"/>
    </row>
    <row r="127" spans="1:2">
      <c r="A127" s="4"/>
      <c r="B127" s="5"/>
    </row>
    <row r="128" spans="1:2">
      <c r="A128" s="4"/>
      <c r="B128" s="5"/>
    </row>
    <row r="129" spans="1:2">
      <c r="A129" s="4"/>
      <c r="B129" s="5"/>
    </row>
    <row r="130" spans="1:2">
      <c r="A130" s="4"/>
      <c r="B130" s="5"/>
    </row>
    <row r="131" spans="1:2">
      <c r="A131" s="4"/>
      <c r="B131" s="5"/>
    </row>
    <row r="132" spans="1:2">
      <c r="A132" s="4"/>
      <c r="B132" s="5"/>
    </row>
    <row r="133" spans="1:2">
      <c r="A133" s="4"/>
      <c r="B133" s="5"/>
    </row>
    <row r="134" spans="1:2">
      <c r="A134" s="4"/>
      <c r="B134" s="5"/>
    </row>
    <row r="135" spans="1:2">
      <c r="A135" s="4"/>
      <c r="B135" s="5"/>
    </row>
    <row r="136" spans="1:2">
      <c r="A136" s="4"/>
      <c r="B136" s="5"/>
    </row>
    <row r="137" spans="1:2">
      <c r="A137" s="4"/>
      <c r="B137" s="5"/>
    </row>
    <row r="138" spans="1:2">
      <c r="A138" s="4"/>
      <c r="B138" s="5"/>
    </row>
    <row r="139" spans="1:2">
      <c r="A139" s="4"/>
      <c r="B139" s="5"/>
    </row>
    <row r="140" spans="1:2">
      <c r="A140" s="4"/>
      <c r="B140" s="5"/>
    </row>
    <row r="141" spans="1:2">
      <c r="A141" s="4"/>
      <c r="B141" s="5"/>
    </row>
    <row r="142" spans="1:2">
      <c r="A142" s="4"/>
      <c r="B142" s="5"/>
    </row>
    <row r="143" spans="1:2">
      <c r="A143" s="4"/>
      <c r="B143" s="5"/>
    </row>
    <row r="144" spans="1:2">
      <c r="A144" s="4"/>
      <c r="B144" s="5"/>
    </row>
    <row r="145" spans="1:2">
      <c r="A145" s="4"/>
      <c r="B145" s="5"/>
    </row>
    <row r="146" spans="1:2">
      <c r="A146" s="4"/>
      <c r="B146" s="5"/>
    </row>
    <row r="147" spans="1:2">
      <c r="A147" s="4"/>
      <c r="B147" s="5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Executive Summary</vt:lpstr>
      <vt:lpstr>Monthly Sales</vt:lpstr>
      <vt:lpstr>Customer Analysis</vt:lpstr>
      <vt:lpstr> Product Analysis</vt:lpstr>
      <vt:lpstr>Delivery Analysis</vt:lpstr>
      <vt:lpstr>PivotTables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2026-08-25T09:57:53Z</dcterms:created>
  <dcterms:modified xsi:type="dcterms:W3CDTF">2026-08-27T10:53:30Z</dcterms:modified>
</cp:coreProperties>
</file>